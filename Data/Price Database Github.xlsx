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mito\Desktop\Github test data\"/>
    </mc:Choice>
  </mc:AlternateContent>
  <xr:revisionPtr revIDLastSave="0" documentId="13_ncr:1_{BFC74D33-4FFE-4C7F-8738-C2403CCB3817}" xr6:coauthVersionLast="47" xr6:coauthVersionMax="47" xr10:uidLastSave="{00000000-0000-0000-0000-000000000000}"/>
  <bookViews>
    <workbookView xWindow="-108" yWindow="-108" windowWidth="23256" windowHeight="13896" tabRatio="738" firstSheet="2" activeTab="2" xr2:uid="{00000000-000D-0000-FFFF-FFFF00000000}"/>
  </bookViews>
  <sheets>
    <sheet name="Chrom. detalės" sheetId="8" r:id="rId1"/>
    <sheet name="Kanalizacija" sheetId="5" r:id="rId2"/>
    <sheet name="Vonios kambarys" sheetId="7" r:id="rId3"/>
    <sheet name="Šildymas" sheetId="10" r:id="rId4"/>
    <sheet name="Plastikas" sheetId="11" r:id="rId5"/>
    <sheet name="Bronza" sheetId="12" r:id="rId6"/>
    <sheet name="Metalas" sheetId="16" r:id="rId7"/>
    <sheet name="Inventorius" sheetId="18" r:id="rId8"/>
  </sheets>
  <calcPr calcId="181029"/>
</workbook>
</file>

<file path=xl/calcChain.xml><?xml version="1.0" encoding="utf-8"?>
<calcChain xmlns="http://schemas.openxmlformats.org/spreadsheetml/2006/main">
  <c r="M137" i="18" l="1"/>
  <c r="N137" i="18" s="1"/>
  <c r="O137" i="18" s="1"/>
  <c r="P137" i="18" s="1"/>
  <c r="L415" i="7"/>
  <c r="M415" i="7" s="1"/>
  <c r="G415" i="7"/>
  <c r="H415" i="7" s="1"/>
  <c r="L413" i="7"/>
  <c r="M413" i="7" s="1"/>
  <c r="G413" i="7"/>
  <c r="H413" i="7" s="1"/>
  <c r="L412" i="7"/>
  <c r="M412" i="7" s="1"/>
  <c r="G412" i="7"/>
  <c r="H412" i="7" s="1"/>
  <c r="I412" i="7" s="1"/>
  <c r="J412" i="7" s="1"/>
  <c r="L411" i="7"/>
  <c r="M411" i="7" s="1"/>
  <c r="N411" i="7" s="1"/>
  <c r="G411" i="7"/>
  <c r="H411" i="7" s="1"/>
  <c r="L410" i="7"/>
  <c r="M410" i="7" s="1"/>
  <c r="G410" i="7"/>
  <c r="H410" i="7" s="1"/>
  <c r="L409" i="7"/>
  <c r="M409" i="7" s="1"/>
  <c r="N409" i="7" s="1"/>
  <c r="G409" i="7"/>
  <c r="H409" i="7" s="1"/>
  <c r="L408" i="7"/>
  <c r="M408" i="7" s="1"/>
  <c r="G408" i="7"/>
  <c r="H408" i="7" s="1"/>
  <c r="L406" i="7"/>
  <c r="M406" i="7" s="1"/>
  <c r="G406" i="7"/>
  <c r="H406" i="7" s="1"/>
  <c r="L405" i="7"/>
  <c r="M405" i="7" s="1"/>
  <c r="G405" i="7"/>
  <c r="H405" i="7" s="1"/>
  <c r="L404" i="7"/>
  <c r="M404" i="7" s="1"/>
  <c r="N404" i="7" s="1"/>
  <c r="G404" i="7"/>
  <c r="H404" i="7" s="1"/>
  <c r="L403" i="7"/>
  <c r="M403" i="7" s="1"/>
  <c r="G403" i="7"/>
  <c r="H403" i="7" s="1"/>
  <c r="L402" i="7"/>
  <c r="M402" i="7" s="1"/>
  <c r="G402" i="7"/>
  <c r="H402" i="7" s="1"/>
  <c r="I402" i="7" s="1"/>
  <c r="L401" i="7"/>
  <c r="M401" i="7" s="1"/>
  <c r="G401" i="7"/>
  <c r="H401" i="7" s="1"/>
  <c r="I401" i="7" s="1"/>
  <c r="J401" i="7" s="1"/>
  <c r="L400" i="7"/>
  <c r="M400" i="7" s="1"/>
  <c r="G400" i="7"/>
  <c r="H400" i="7" s="1"/>
  <c r="L399" i="7"/>
  <c r="M399" i="7" s="1"/>
  <c r="G399" i="7"/>
  <c r="H399" i="7" s="1"/>
  <c r="I399" i="7" s="1"/>
  <c r="L397" i="7"/>
  <c r="M397" i="7" s="1"/>
  <c r="G397" i="7"/>
  <c r="H397" i="7" s="1"/>
  <c r="I397" i="7" s="1"/>
  <c r="L396" i="7"/>
  <c r="M396" i="7" s="1"/>
  <c r="G396" i="7"/>
  <c r="H396" i="7" s="1"/>
  <c r="L395" i="7"/>
  <c r="M395" i="7" s="1"/>
  <c r="G395" i="7"/>
  <c r="H395" i="7" s="1"/>
  <c r="L394" i="7"/>
  <c r="M394" i="7" s="1"/>
  <c r="G394" i="7"/>
  <c r="H394" i="7" s="1"/>
  <c r="I394" i="7" s="1"/>
  <c r="L393" i="7"/>
  <c r="M393" i="7" s="1"/>
  <c r="H393" i="7"/>
  <c r="I393" i="7" s="1"/>
  <c r="J393" i="7" s="1"/>
  <c r="G393" i="7"/>
  <c r="L392" i="7"/>
  <c r="M392" i="7" s="1"/>
  <c r="G392" i="7"/>
  <c r="H392" i="7" s="1"/>
  <c r="L391" i="7"/>
  <c r="M391" i="7" s="1"/>
  <c r="G391" i="7"/>
  <c r="H391" i="7" s="1"/>
  <c r="L390" i="7"/>
  <c r="M390" i="7" s="1"/>
  <c r="G390" i="7"/>
  <c r="H390" i="7" s="1"/>
  <c r="L389" i="7"/>
  <c r="M389" i="7" s="1"/>
  <c r="N389" i="7" s="1"/>
  <c r="G389" i="7"/>
  <c r="H389" i="7" s="1"/>
  <c r="L388" i="7"/>
  <c r="M388" i="7" s="1"/>
  <c r="G388" i="7"/>
  <c r="H388" i="7" s="1"/>
  <c r="L387" i="7"/>
  <c r="M387" i="7" s="1"/>
  <c r="G387" i="7"/>
  <c r="H387" i="7" s="1"/>
  <c r="L386" i="7"/>
  <c r="M386" i="7" s="1"/>
  <c r="G386" i="7"/>
  <c r="H386" i="7" s="1"/>
  <c r="L385" i="7"/>
  <c r="M385" i="7" s="1"/>
  <c r="N385" i="7" s="1"/>
  <c r="O385" i="7" s="1"/>
  <c r="G385" i="7"/>
  <c r="H385" i="7" s="1"/>
  <c r="L384" i="7"/>
  <c r="M384" i="7" s="1"/>
  <c r="G384" i="7"/>
  <c r="H384" i="7" s="1"/>
  <c r="I384" i="7" s="1"/>
  <c r="L383" i="7"/>
  <c r="M383" i="7" s="1"/>
  <c r="G383" i="7"/>
  <c r="H383" i="7" s="1"/>
  <c r="L382" i="7"/>
  <c r="M382" i="7" s="1"/>
  <c r="G382" i="7"/>
  <c r="H382" i="7" s="1"/>
  <c r="L381" i="7"/>
  <c r="M381" i="7" s="1"/>
  <c r="G381" i="7"/>
  <c r="H381" i="7" s="1"/>
  <c r="I381" i="7" s="1"/>
  <c r="J381" i="7" s="1"/>
  <c r="L379" i="7"/>
  <c r="M379" i="7" s="1"/>
  <c r="G379" i="7"/>
  <c r="H379" i="7" s="1"/>
  <c r="L378" i="7"/>
  <c r="M378" i="7" s="1"/>
  <c r="G378" i="7"/>
  <c r="H378" i="7" s="1"/>
  <c r="I378" i="7" s="1"/>
  <c r="J378" i="7" s="1"/>
  <c r="L377" i="7"/>
  <c r="M377" i="7" s="1"/>
  <c r="G377" i="7"/>
  <c r="H377" i="7" s="1"/>
  <c r="I377" i="7" s="1"/>
  <c r="J377" i="7" s="1"/>
  <c r="L376" i="7"/>
  <c r="M376" i="7" s="1"/>
  <c r="G376" i="7"/>
  <c r="H376" i="7" s="1"/>
  <c r="L375" i="7"/>
  <c r="M375" i="7" s="1"/>
  <c r="G375" i="7"/>
  <c r="H375" i="7" s="1"/>
  <c r="I375" i="7" s="1"/>
  <c r="L374" i="7"/>
  <c r="M374" i="7" s="1"/>
  <c r="N374" i="7" s="1"/>
  <c r="G374" i="7"/>
  <c r="H374" i="7" s="1"/>
  <c r="L373" i="7"/>
  <c r="M373" i="7" s="1"/>
  <c r="G373" i="7"/>
  <c r="H373" i="7" s="1"/>
  <c r="L372" i="7"/>
  <c r="M372" i="7" s="1"/>
  <c r="N372" i="7" s="1"/>
  <c r="G372" i="7"/>
  <c r="H372" i="7" s="1"/>
  <c r="L371" i="7"/>
  <c r="M371" i="7" s="1"/>
  <c r="G371" i="7"/>
  <c r="H371" i="7" s="1"/>
  <c r="I371" i="7" s="1"/>
  <c r="L370" i="7"/>
  <c r="M370" i="7" s="1"/>
  <c r="G370" i="7"/>
  <c r="H370" i="7" s="1"/>
  <c r="L369" i="7"/>
  <c r="M369" i="7" s="1"/>
  <c r="G369" i="7"/>
  <c r="H369" i="7" s="1"/>
  <c r="L368" i="7"/>
  <c r="M368" i="7" s="1"/>
  <c r="G368" i="7"/>
  <c r="H368" i="7" s="1"/>
  <c r="I368" i="7" s="1"/>
  <c r="L367" i="7"/>
  <c r="M367" i="7" s="1"/>
  <c r="G367" i="7"/>
  <c r="H367" i="7" s="1"/>
  <c r="I367" i="7" s="1"/>
  <c r="L366" i="7"/>
  <c r="M366" i="7" s="1"/>
  <c r="G366" i="7"/>
  <c r="H366" i="7" s="1"/>
  <c r="I366" i="7" s="1"/>
  <c r="L365" i="7"/>
  <c r="M365" i="7" s="1"/>
  <c r="G365" i="7"/>
  <c r="H365" i="7" s="1"/>
  <c r="L364" i="7"/>
  <c r="M364" i="7" s="1"/>
  <c r="G364" i="7"/>
  <c r="H364" i="7" s="1"/>
  <c r="L363" i="7"/>
  <c r="M363" i="7" s="1"/>
  <c r="G363" i="7"/>
  <c r="H363" i="7" s="1"/>
  <c r="I363" i="7" s="1"/>
  <c r="L362" i="7"/>
  <c r="M362" i="7" s="1"/>
  <c r="G362" i="7"/>
  <c r="H362" i="7" s="1"/>
  <c r="L361" i="7"/>
  <c r="M361" i="7" s="1"/>
  <c r="G361" i="7"/>
  <c r="H361" i="7" s="1"/>
  <c r="L360" i="7"/>
  <c r="M360" i="7" s="1"/>
  <c r="G360" i="7"/>
  <c r="H360" i="7" s="1"/>
  <c r="L359" i="7"/>
  <c r="M359" i="7" s="1"/>
  <c r="G359" i="7"/>
  <c r="H359" i="7" s="1"/>
  <c r="L358" i="7"/>
  <c r="M358" i="7" s="1"/>
  <c r="G358" i="7"/>
  <c r="H358" i="7" s="1"/>
  <c r="L357" i="7"/>
  <c r="M357" i="7" s="1"/>
  <c r="G357" i="7"/>
  <c r="H357" i="7" s="1"/>
  <c r="L356" i="7"/>
  <c r="M356" i="7" s="1"/>
  <c r="G356" i="7"/>
  <c r="H356" i="7" s="1"/>
  <c r="L355" i="7"/>
  <c r="M355" i="7" s="1"/>
  <c r="G355" i="7"/>
  <c r="H355" i="7" s="1"/>
  <c r="L354" i="7"/>
  <c r="M354" i="7" s="1"/>
  <c r="G354" i="7"/>
  <c r="H354" i="7" s="1"/>
  <c r="L353" i="7"/>
  <c r="M353" i="7" s="1"/>
  <c r="G353" i="7"/>
  <c r="H353" i="7" s="1"/>
  <c r="L352" i="7"/>
  <c r="M352" i="7" s="1"/>
  <c r="G352" i="7"/>
  <c r="H352" i="7" s="1"/>
  <c r="L351" i="7"/>
  <c r="M351" i="7" s="1"/>
  <c r="G351" i="7"/>
  <c r="H351" i="7" s="1"/>
  <c r="L350" i="7"/>
  <c r="M350" i="7" s="1"/>
  <c r="G350" i="7"/>
  <c r="H350" i="7" s="1"/>
  <c r="I350" i="7" s="1"/>
  <c r="L349" i="7"/>
  <c r="M349" i="7" s="1"/>
  <c r="G349" i="7"/>
  <c r="H349" i="7" s="1"/>
  <c r="L348" i="7"/>
  <c r="M348" i="7" s="1"/>
  <c r="G348" i="7"/>
  <c r="H348" i="7" s="1"/>
  <c r="L347" i="7"/>
  <c r="M347" i="7" s="1"/>
  <c r="G347" i="7"/>
  <c r="H347" i="7" s="1"/>
  <c r="L346" i="7"/>
  <c r="M346" i="7" s="1"/>
  <c r="G346" i="7"/>
  <c r="H346" i="7" s="1"/>
  <c r="L345" i="7"/>
  <c r="M345" i="7" s="1"/>
  <c r="G345" i="7"/>
  <c r="H345" i="7" s="1"/>
  <c r="I345" i="7" s="1"/>
  <c r="J345" i="7" s="1"/>
  <c r="L344" i="7"/>
  <c r="M344" i="7" s="1"/>
  <c r="G344" i="7"/>
  <c r="H344" i="7" s="1"/>
  <c r="L343" i="7"/>
  <c r="M343" i="7" s="1"/>
  <c r="G343" i="7"/>
  <c r="H343" i="7" s="1"/>
  <c r="L342" i="7"/>
  <c r="M342" i="7" s="1"/>
  <c r="N342" i="7" s="1"/>
  <c r="G342" i="7"/>
  <c r="H342" i="7" s="1"/>
  <c r="L341" i="7"/>
  <c r="M341" i="7" s="1"/>
  <c r="G341" i="7"/>
  <c r="H341" i="7" s="1"/>
  <c r="L340" i="7"/>
  <c r="M340" i="7" s="1"/>
  <c r="N340" i="7" s="1"/>
  <c r="G340" i="7"/>
  <c r="H340" i="7" s="1"/>
  <c r="L339" i="7"/>
  <c r="M339" i="7" s="1"/>
  <c r="G339" i="7"/>
  <c r="H339" i="7" s="1"/>
  <c r="L338" i="7"/>
  <c r="M338" i="7" s="1"/>
  <c r="N338" i="7" s="1"/>
  <c r="G338" i="7"/>
  <c r="H338" i="7" s="1"/>
  <c r="L337" i="7"/>
  <c r="M337" i="7" s="1"/>
  <c r="G337" i="7"/>
  <c r="H337" i="7" s="1"/>
  <c r="L336" i="7"/>
  <c r="M336" i="7" s="1"/>
  <c r="N336" i="7" s="1"/>
  <c r="G336" i="7"/>
  <c r="H336" i="7" s="1"/>
  <c r="I336" i="7" s="1"/>
  <c r="L335" i="7"/>
  <c r="M335" i="7" s="1"/>
  <c r="G335" i="7"/>
  <c r="H335" i="7" s="1"/>
  <c r="I335" i="7" s="1"/>
  <c r="L334" i="7"/>
  <c r="M334" i="7" s="1"/>
  <c r="G334" i="7"/>
  <c r="H334" i="7" s="1"/>
  <c r="I334" i="7" s="1"/>
  <c r="L333" i="7"/>
  <c r="M333" i="7" s="1"/>
  <c r="G333" i="7"/>
  <c r="H333" i="7" s="1"/>
  <c r="I333" i="7" s="1"/>
  <c r="L332" i="7"/>
  <c r="M332" i="7" s="1"/>
  <c r="G332" i="7"/>
  <c r="H332" i="7" s="1"/>
  <c r="L331" i="7"/>
  <c r="M331" i="7" s="1"/>
  <c r="G331" i="7"/>
  <c r="H331" i="7" s="1"/>
  <c r="L330" i="7"/>
  <c r="M330" i="7" s="1"/>
  <c r="G330" i="7"/>
  <c r="H330" i="7" s="1"/>
  <c r="L329" i="7"/>
  <c r="M329" i="7" s="1"/>
  <c r="G329" i="7"/>
  <c r="H329" i="7" s="1"/>
  <c r="L328" i="7"/>
  <c r="M328" i="7" s="1"/>
  <c r="G328" i="7"/>
  <c r="H328" i="7" s="1"/>
  <c r="I328" i="7" s="1"/>
  <c r="J328" i="7" s="1"/>
  <c r="L327" i="7"/>
  <c r="M327" i="7" s="1"/>
  <c r="G327" i="7"/>
  <c r="H327" i="7" s="1"/>
  <c r="L326" i="7"/>
  <c r="M326" i="7" s="1"/>
  <c r="N326" i="7" s="1"/>
  <c r="G326" i="7"/>
  <c r="H326" i="7" s="1"/>
  <c r="L325" i="7"/>
  <c r="M325" i="7" s="1"/>
  <c r="G325" i="7"/>
  <c r="H325" i="7" s="1"/>
  <c r="L324" i="7"/>
  <c r="M324" i="7" s="1"/>
  <c r="N324" i="7" s="1"/>
  <c r="G324" i="7"/>
  <c r="H324" i="7" s="1"/>
  <c r="I324" i="7" s="1"/>
  <c r="L323" i="7"/>
  <c r="M323" i="7" s="1"/>
  <c r="G323" i="7"/>
  <c r="H323" i="7" s="1"/>
  <c r="L322" i="7"/>
  <c r="M322" i="7" s="1"/>
  <c r="G322" i="7"/>
  <c r="H322" i="7" s="1"/>
  <c r="I322" i="7" s="1"/>
  <c r="L321" i="7"/>
  <c r="M321" i="7" s="1"/>
  <c r="G321" i="7"/>
  <c r="H321" i="7" s="1"/>
  <c r="L320" i="7"/>
  <c r="M320" i="7" s="1"/>
  <c r="N320" i="7" s="1"/>
  <c r="O320" i="7" s="1"/>
  <c r="G320" i="7"/>
  <c r="H320" i="7" s="1"/>
  <c r="L319" i="7"/>
  <c r="M319" i="7" s="1"/>
  <c r="G319" i="7"/>
  <c r="H319" i="7" s="1"/>
  <c r="I319" i="7" s="1"/>
  <c r="L318" i="7"/>
  <c r="M318" i="7" s="1"/>
  <c r="G318" i="7"/>
  <c r="H318" i="7" s="1"/>
  <c r="I318" i="7" s="1"/>
  <c r="L317" i="7"/>
  <c r="M317" i="7" s="1"/>
  <c r="G317" i="7"/>
  <c r="H317" i="7" s="1"/>
  <c r="L316" i="7"/>
  <c r="M316" i="7" s="1"/>
  <c r="G316" i="7"/>
  <c r="H316" i="7" s="1"/>
  <c r="L315" i="7"/>
  <c r="M315" i="7" s="1"/>
  <c r="G315" i="7"/>
  <c r="H315" i="7" s="1"/>
  <c r="L314" i="7"/>
  <c r="M314" i="7" s="1"/>
  <c r="G314" i="7"/>
  <c r="H314" i="7" s="1"/>
  <c r="I314" i="7" s="1"/>
  <c r="L313" i="7"/>
  <c r="M313" i="7" s="1"/>
  <c r="G313" i="7"/>
  <c r="H313" i="7" s="1"/>
  <c r="I313" i="7" s="1"/>
  <c r="J313" i="7" s="1"/>
  <c r="L312" i="7"/>
  <c r="M312" i="7" s="1"/>
  <c r="N312" i="7" s="1"/>
  <c r="G312" i="7"/>
  <c r="H312" i="7" s="1"/>
  <c r="L311" i="7"/>
  <c r="M311" i="7" s="1"/>
  <c r="G311" i="7"/>
  <c r="H311" i="7" s="1"/>
  <c r="L310" i="7"/>
  <c r="M310" i="7" s="1"/>
  <c r="N310" i="7" s="1"/>
  <c r="G310" i="7"/>
  <c r="H310" i="7" s="1"/>
  <c r="L309" i="7"/>
  <c r="M309" i="7" s="1"/>
  <c r="G309" i="7"/>
  <c r="H309" i="7" s="1"/>
  <c r="L308" i="7"/>
  <c r="M308" i="7" s="1"/>
  <c r="G308" i="7"/>
  <c r="H308" i="7" s="1"/>
  <c r="L307" i="7"/>
  <c r="M307" i="7" s="1"/>
  <c r="G307" i="7"/>
  <c r="H307" i="7" s="1"/>
  <c r="I307" i="7" s="1"/>
  <c r="L306" i="7"/>
  <c r="M306" i="7" s="1"/>
  <c r="N306" i="7" s="1"/>
  <c r="G306" i="7"/>
  <c r="H306" i="7" s="1"/>
  <c r="L305" i="7"/>
  <c r="M305" i="7" s="1"/>
  <c r="G305" i="7"/>
  <c r="H305" i="7" s="1"/>
  <c r="L304" i="7"/>
  <c r="M304" i="7" s="1"/>
  <c r="G304" i="7"/>
  <c r="H304" i="7" s="1"/>
  <c r="I304" i="7" s="1"/>
  <c r="L303" i="7"/>
  <c r="M303" i="7" s="1"/>
  <c r="G303" i="7"/>
  <c r="H303" i="7" s="1"/>
  <c r="I303" i="7" s="1"/>
  <c r="L302" i="7"/>
  <c r="M302" i="7" s="1"/>
  <c r="G302" i="7"/>
  <c r="H302" i="7" s="1"/>
  <c r="L301" i="7"/>
  <c r="M301" i="7" s="1"/>
  <c r="G301" i="7"/>
  <c r="H301" i="7" s="1"/>
  <c r="L300" i="7"/>
  <c r="M300" i="7" s="1"/>
  <c r="G300" i="7"/>
  <c r="H300" i="7" s="1"/>
  <c r="L299" i="7"/>
  <c r="M299" i="7" s="1"/>
  <c r="G299" i="7"/>
  <c r="H299" i="7" s="1"/>
  <c r="L298" i="7"/>
  <c r="M298" i="7" s="1"/>
  <c r="G298" i="7"/>
  <c r="H298" i="7" s="1"/>
  <c r="L297" i="7"/>
  <c r="M297" i="7" s="1"/>
  <c r="G297" i="7"/>
  <c r="H297" i="7" s="1"/>
  <c r="L296" i="7"/>
  <c r="M296" i="7" s="1"/>
  <c r="G296" i="7"/>
  <c r="H296" i="7" s="1"/>
  <c r="I296" i="7" s="1"/>
  <c r="J296" i="7" s="1"/>
  <c r="L295" i="7"/>
  <c r="M295" i="7" s="1"/>
  <c r="G295" i="7"/>
  <c r="H295" i="7" s="1"/>
  <c r="L294" i="7"/>
  <c r="M294" i="7" s="1"/>
  <c r="N294" i="7" s="1"/>
  <c r="G294" i="7"/>
  <c r="H294" i="7" s="1"/>
  <c r="L293" i="7"/>
  <c r="M293" i="7" s="1"/>
  <c r="G293" i="7"/>
  <c r="H293" i="7" s="1"/>
  <c r="L292" i="7"/>
  <c r="M292" i="7" s="1"/>
  <c r="G292" i="7"/>
  <c r="H292" i="7" s="1"/>
  <c r="L291" i="7"/>
  <c r="M291" i="7" s="1"/>
  <c r="G291" i="7"/>
  <c r="H291" i="7" s="1"/>
  <c r="L290" i="7"/>
  <c r="M290" i="7" s="1"/>
  <c r="G290" i="7"/>
  <c r="H290" i="7" s="1"/>
  <c r="I290" i="7" s="1"/>
  <c r="L289" i="7"/>
  <c r="M289" i="7" s="1"/>
  <c r="G289" i="7"/>
  <c r="H289" i="7" s="1"/>
  <c r="L288" i="7"/>
  <c r="M288" i="7" s="1"/>
  <c r="G288" i="7"/>
  <c r="H288" i="7" s="1"/>
  <c r="L287" i="7"/>
  <c r="M287" i="7" s="1"/>
  <c r="G287" i="7"/>
  <c r="H287" i="7" s="1"/>
  <c r="I287" i="7" s="1"/>
  <c r="L286" i="7"/>
  <c r="M286" i="7" s="1"/>
  <c r="G286" i="7"/>
  <c r="H286" i="7" s="1"/>
  <c r="I286" i="7" s="1"/>
  <c r="L285" i="7"/>
  <c r="M285" i="7" s="1"/>
  <c r="G285" i="7"/>
  <c r="H285" i="7" s="1"/>
  <c r="L284" i="7"/>
  <c r="M284" i="7" s="1"/>
  <c r="G284" i="7"/>
  <c r="H284" i="7" s="1"/>
  <c r="L283" i="7"/>
  <c r="M283" i="7" s="1"/>
  <c r="G283" i="7"/>
  <c r="H283" i="7" s="1"/>
  <c r="L282" i="7"/>
  <c r="M282" i="7" s="1"/>
  <c r="G282" i="7"/>
  <c r="H282" i="7" s="1"/>
  <c r="L281" i="7"/>
  <c r="M281" i="7" s="1"/>
  <c r="G281" i="7"/>
  <c r="H281" i="7" s="1"/>
  <c r="L280" i="7"/>
  <c r="M280" i="7" s="1"/>
  <c r="G280" i="7"/>
  <c r="H280" i="7" s="1"/>
  <c r="L279" i="7"/>
  <c r="M279" i="7" s="1"/>
  <c r="G279" i="7"/>
  <c r="H279" i="7" s="1"/>
  <c r="L278" i="7"/>
  <c r="M278" i="7" s="1"/>
  <c r="N278" i="7" s="1"/>
  <c r="G278" i="7"/>
  <c r="H278" i="7" s="1"/>
  <c r="I278" i="7" s="1"/>
  <c r="L277" i="7"/>
  <c r="M277" i="7" s="1"/>
  <c r="G277" i="7"/>
  <c r="H277" i="7" s="1"/>
  <c r="L276" i="7"/>
  <c r="M276" i="7" s="1"/>
  <c r="N276" i="7" s="1"/>
  <c r="O276" i="7" s="1"/>
  <c r="G276" i="7"/>
  <c r="H276" i="7" s="1"/>
  <c r="L275" i="7"/>
  <c r="M275" i="7" s="1"/>
  <c r="G275" i="7"/>
  <c r="H275" i="7" s="1"/>
  <c r="I275" i="7" s="1"/>
  <c r="L274" i="7"/>
  <c r="M274" i="7" s="1"/>
  <c r="G274" i="7"/>
  <c r="H274" i="7" s="1"/>
  <c r="I274" i="7" s="1"/>
  <c r="J274" i="7" s="1"/>
  <c r="L273" i="7"/>
  <c r="M273" i="7" s="1"/>
  <c r="G273" i="7"/>
  <c r="H273" i="7" s="1"/>
  <c r="L272" i="7"/>
  <c r="M272" i="7" s="1"/>
  <c r="G272" i="7"/>
  <c r="H272" i="7" s="1"/>
  <c r="L271" i="7"/>
  <c r="M271" i="7" s="1"/>
  <c r="G271" i="7"/>
  <c r="H271" i="7" s="1"/>
  <c r="L270" i="7"/>
  <c r="M270" i="7" s="1"/>
  <c r="G270" i="7"/>
  <c r="H270" i="7" s="1"/>
  <c r="I270" i="7" s="1"/>
  <c r="L269" i="7"/>
  <c r="M269" i="7" s="1"/>
  <c r="G269" i="7"/>
  <c r="H269" i="7" s="1"/>
  <c r="L268" i="7"/>
  <c r="M268" i="7" s="1"/>
  <c r="G268" i="7"/>
  <c r="H268" i="7" s="1"/>
  <c r="L267" i="7"/>
  <c r="M267" i="7" s="1"/>
  <c r="G267" i="7"/>
  <c r="H267" i="7" s="1"/>
  <c r="L266" i="7"/>
  <c r="M266" i="7" s="1"/>
  <c r="G266" i="7"/>
  <c r="H266" i="7" s="1"/>
  <c r="L265" i="7"/>
  <c r="M265" i="7" s="1"/>
  <c r="G265" i="7"/>
  <c r="H265" i="7" s="1"/>
  <c r="L263" i="7"/>
  <c r="M263" i="7" s="1"/>
  <c r="G263" i="7"/>
  <c r="H263" i="7" s="1"/>
  <c r="L262" i="7"/>
  <c r="M262" i="7" s="1"/>
  <c r="G262" i="7"/>
  <c r="H262" i="7" s="1"/>
  <c r="L261" i="7"/>
  <c r="M261" i="7" s="1"/>
  <c r="G261" i="7"/>
  <c r="H261" i="7" s="1"/>
  <c r="L260" i="7"/>
  <c r="M260" i="7" s="1"/>
  <c r="G260" i="7"/>
  <c r="H260" i="7" s="1"/>
  <c r="L259" i="7"/>
  <c r="M259" i="7" s="1"/>
  <c r="G259" i="7"/>
  <c r="H259" i="7" s="1"/>
  <c r="L258" i="7"/>
  <c r="M258" i="7" s="1"/>
  <c r="G258" i="7"/>
  <c r="H258" i="7" s="1"/>
  <c r="I258" i="7" s="1"/>
  <c r="L257" i="7"/>
  <c r="M257" i="7" s="1"/>
  <c r="G257" i="7"/>
  <c r="H257" i="7" s="1"/>
  <c r="I257" i="7" s="1"/>
  <c r="J257" i="7" s="1"/>
  <c r="L256" i="7"/>
  <c r="M256" i="7" s="1"/>
  <c r="G256" i="7"/>
  <c r="H256" i="7" s="1"/>
  <c r="L255" i="7"/>
  <c r="M255" i="7" s="1"/>
  <c r="G255" i="7"/>
  <c r="H255" i="7" s="1"/>
  <c r="L254" i="7"/>
  <c r="M254" i="7" s="1"/>
  <c r="G254" i="7"/>
  <c r="H254" i="7" s="1"/>
  <c r="I254" i="7" s="1"/>
  <c r="L253" i="7"/>
  <c r="M253" i="7" s="1"/>
  <c r="G253" i="7"/>
  <c r="H253" i="7" s="1"/>
  <c r="L251" i="7"/>
  <c r="M251" i="7" s="1"/>
  <c r="G251" i="7"/>
  <c r="H251" i="7" s="1"/>
  <c r="L250" i="7"/>
  <c r="M250" i="7" s="1"/>
  <c r="G250" i="7"/>
  <c r="H250" i="7" s="1"/>
  <c r="L249" i="7"/>
  <c r="M249" i="7" s="1"/>
  <c r="G249" i="7"/>
  <c r="H249" i="7" s="1"/>
  <c r="I249" i="7" s="1"/>
  <c r="J249" i="7" s="1"/>
  <c r="L248" i="7"/>
  <c r="M248" i="7" s="1"/>
  <c r="G248" i="7"/>
  <c r="H248" i="7" s="1"/>
  <c r="L247" i="7"/>
  <c r="M247" i="7" s="1"/>
  <c r="G247" i="7"/>
  <c r="H247" i="7" s="1"/>
  <c r="I247" i="7" s="1"/>
  <c r="L246" i="7"/>
  <c r="M246" i="7" s="1"/>
  <c r="G246" i="7"/>
  <c r="H246" i="7" s="1"/>
  <c r="L245" i="7"/>
  <c r="M245" i="7" s="1"/>
  <c r="G245" i="7"/>
  <c r="H245" i="7" s="1"/>
  <c r="L244" i="7"/>
  <c r="M244" i="7" s="1"/>
  <c r="N244" i="7" s="1"/>
  <c r="O244" i="7" s="1"/>
  <c r="G244" i="7"/>
  <c r="H244" i="7" s="1"/>
  <c r="I244" i="7" s="1"/>
  <c r="L243" i="7"/>
  <c r="M243" i="7" s="1"/>
  <c r="G243" i="7"/>
  <c r="H243" i="7" s="1"/>
  <c r="L242" i="7"/>
  <c r="M242" i="7" s="1"/>
  <c r="N242" i="7" s="1"/>
  <c r="G242" i="7"/>
  <c r="H242" i="7" s="1"/>
  <c r="L241" i="7"/>
  <c r="M241" i="7" s="1"/>
  <c r="G241" i="7"/>
  <c r="H241" i="7" s="1"/>
  <c r="I241" i="7" s="1"/>
  <c r="J241" i="7" s="1"/>
  <c r="L240" i="7"/>
  <c r="M240" i="7" s="1"/>
  <c r="G240" i="7"/>
  <c r="H240" i="7" s="1"/>
  <c r="I240" i="7" s="1"/>
  <c r="J240" i="7" s="1"/>
  <c r="M238" i="7"/>
  <c r="L238" i="7"/>
  <c r="G238" i="7"/>
  <c r="H238" i="7" s="1"/>
  <c r="I238" i="7" s="1"/>
  <c r="J238" i="7" s="1"/>
  <c r="L237" i="7"/>
  <c r="M237" i="7" s="1"/>
  <c r="G237" i="7"/>
  <c r="H237" i="7" s="1"/>
  <c r="I237" i="7" s="1"/>
  <c r="J237" i="7" s="1"/>
  <c r="L236" i="7"/>
  <c r="M236" i="7" s="1"/>
  <c r="G236" i="7"/>
  <c r="H236" i="7" s="1"/>
  <c r="L235" i="7"/>
  <c r="M235" i="7" s="1"/>
  <c r="N235" i="7" s="1"/>
  <c r="G235" i="7"/>
  <c r="H235" i="7" s="1"/>
  <c r="I235" i="7" s="1"/>
  <c r="J235" i="7" s="1"/>
  <c r="L234" i="7"/>
  <c r="M234" i="7" s="1"/>
  <c r="G234" i="7"/>
  <c r="H234" i="7" s="1"/>
  <c r="L233" i="7"/>
  <c r="M233" i="7" s="1"/>
  <c r="N233" i="7" s="1"/>
  <c r="G233" i="7"/>
  <c r="H233" i="7" s="1"/>
  <c r="I233" i="7" s="1"/>
  <c r="J233" i="7" s="1"/>
  <c r="L232" i="7"/>
  <c r="M232" i="7" s="1"/>
  <c r="G232" i="7"/>
  <c r="H232" i="7" s="1"/>
  <c r="L231" i="7"/>
  <c r="M231" i="7" s="1"/>
  <c r="G231" i="7"/>
  <c r="H231" i="7" s="1"/>
  <c r="I231" i="7" s="1"/>
  <c r="L229" i="7"/>
  <c r="M229" i="7" s="1"/>
  <c r="G229" i="7"/>
  <c r="H229" i="7" s="1"/>
  <c r="L228" i="7"/>
  <c r="M228" i="7" s="1"/>
  <c r="G228" i="7"/>
  <c r="H228" i="7" s="1"/>
  <c r="I228" i="7" s="1"/>
  <c r="J228" i="7" s="1"/>
  <c r="L227" i="7"/>
  <c r="M227" i="7" s="1"/>
  <c r="G227" i="7"/>
  <c r="H227" i="7" s="1"/>
  <c r="I227" i="7" s="1"/>
  <c r="L226" i="7"/>
  <c r="M226" i="7" s="1"/>
  <c r="G226" i="7"/>
  <c r="H226" i="7" s="1"/>
  <c r="I226" i="7" s="1"/>
  <c r="J226" i="7" s="1"/>
  <c r="L225" i="7"/>
  <c r="M225" i="7" s="1"/>
  <c r="G225" i="7"/>
  <c r="H225" i="7" s="1"/>
  <c r="L224" i="7"/>
  <c r="M224" i="7" s="1"/>
  <c r="G224" i="7"/>
  <c r="H224" i="7" s="1"/>
  <c r="I224" i="7" s="1"/>
  <c r="J224" i="7" s="1"/>
  <c r="L223" i="7"/>
  <c r="M223" i="7" s="1"/>
  <c r="G223" i="7"/>
  <c r="H223" i="7" s="1"/>
  <c r="L222" i="7"/>
  <c r="M222" i="7" s="1"/>
  <c r="G222" i="7"/>
  <c r="H222" i="7" s="1"/>
  <c r="I222" i="7" s="1"/>
  <c r="J222" i="7" s="1"/>
  <c r="L221" i="7"/>
  <c r="M221" i="7" s="1"/>
  <c r="G221" i="7"/>
  <c r="H221" i="7" s="1"/>
  <c r="L220" i="7"/>
  <c r="M220" i="7" s="1"/>
  <c r="G220" i="7"/>
  <c r="H220" i="7" s="1"/>
  <c r="L219" i="7"/>
  <c r="M219" i="7" s="1"/>
  <c r="G219" i="7"/>
  <c r="H219" i="7" s="1"/>
  <c r="L218" i="7"/>
  <c r="M218" i="7" s="1"/>
  <c r="G218" i="7"/>
  <c r="H218" i="7" s="1"/>
  <c r="I218" i="7" s="1"/>
  <c r="J218" i="7" s="1"/>
  <c r="L217" i="7"/>
  <c r="M217" i="7" s="1"/>
  <c r="G217" i="7"/>
  <c r="H217" i="7" s="1"/>
  <c r="L216" i="7"/>
  <c r="M216" i="7" s="1"/>
  <c r="N216" i="7" s="1"/>
  <c r="G216" i="7"/>
  <c r="H216" i="7" s="1"/>
  <c r="I216" i="7" s="1"/>
  <c r="J216" i="7" s="1"/>
  <c r="L215" i="7"/>
  <c r="M215" i="7" s="1"/>
  <c r="G215" i="7"/>
  <c r="H215" i="7" s="1"/>
  <c r="L214" i="7"/>
  <c r="M214" i="7" s="1"/>
  <c r="N214" i="7" s="1"/>
  <c r="G214" i="7"/>
  <c r="H214" i="7" s="1"/>
  <c r="I214" i="7" s="1"/>
  <c r="J214" i="7" s="1"/>
  <c r="L213" i="7"/>
  <c r="M213" i="7" s="1"/>
  <c r="G213" i="7"/>
  <c r="H213" i="7" s="1"/>
  <c r="L212" i="7"/>
  <c r="M212" i="7" s="1"/>
  <c r="G212" i="7"/>
  <c r="H212" i="7" s="1"/>
  <c r="I212" i="7" s="1"/>
  <c r="J212" i="7" s="1"/>
  <c r="L211" i="7"/>
  <c r="M211" i="7" s="1"/>
  <c r="G211" i="7"/>
  <c r="H211" i="7" s="1"/>
  <c r="L210" i="7"/>
  <c r="M210" i="7" s="1"/>
  <c r="G210" i="7"/>
  <c r="H210" i="7" s="1"/>
  <c r="I210" i="7" s="1"/>
  <c r="J210" i="7" s="1"/>
  <c r="M208" i="7"/>
  <c r="L208" i="7"/>
  <c r="G208" i="7"/>
  <c r="H208" i="7" s="1"/>
  <c r="L207" i="7"/>
  <c r="M207" i="7" s="1"/>
  <c r="G207" i="7"/>
  <c r="H207" i="7" s="1"/>
  <c r="I207" i="7" s="1"/>
  <c r="J207" i="7" s="1"/>
  <c r="L206" i="7"/>
  <c r="M206" i="7" s="1"/>
  <c r="G206" i="7"/>
  <c r="H206" i="7" s="1"/>
  <c r="I206" i="7" s="1"/>
  <c r="L205" i="7"/>
  <c r="M205" i="7" s="1"/>
  <c r="G205" i="7"/>
  <c r="H205" i="7" s="1"/>
  <c r="L204" i="7"/>
  <c r="M204" i="7" s="1"/>
  <c r="G204" i="7"/>
  <c r="H204" i="7" s="1"/>
  <c r="I204" i="7" s="1"/>
  <c r="L203" i="7"/>
  <c r="M203" i="7" s="1"/>
  <c r="G203" i="7"/>
  <c r="H203" i="7" s="1"/>
  <c r="I203" i="7" s="1"/>
  <c r="L202" i="7"/>
  <c r="M202" i="7" s="1"/>
  <c r="G202" i="7"/>
  <c r="H202" i="7" s="1"/>
  <c r="I202" i="7" s="1"/>
  <c r="L201" i="7"/>
  <c r="M201" i="7" s="1"/>
  <c r="G201" i="7"/>
  <c r="H201" i="7" s="1"/>
  <c r="L200" i="7"/>
  <c r="M200" i="7" s="1"/>
  <c r="G200" i="7"/>
  <c r="H200" i="7" s="1"/>
  <c r="L199" i="7"/>
  <c r="M199" i="7" s="1"/>
  <c r="G199" i="7"/>
  <c r="H199" i="7" s="1"/>
  <c r="I199" i="7" s="1"/>
  <c r="J199" i="7" s="1"/>
  <c r="L198" i="7"/>
  <c r="M198" i="7" s="1"/>
  <c r="G198" i="7"/>
  <c r="H198" i="7" s="1"/>
  <c r="L197" i="7"/>
  <c r="M197" i="7" s="1"/>
  <c r="G197" i="7"/>
  <c r="H197" i="7" s="1"/>
  <c r="L196" i="7"/>
  <c r="M196" i="7" s="1"/>
  <c r="G196" i="7"/>
  <c r="H196" i="7" s="1"/>
  <c r="I196" i="7" s="1"/>
  <c r="L195" i="7"/>
  <c r="M195" i="7" s="1"/>
  <c r="G195" i="7"/>
  <c r="H195" i="7" s="1"/>
  <c r="I195" i="7" s="1"/>
  <c r="J195" i="7" s="1"/>
  <c r="L194" i="7"/>
  <c r="M194" i="7" s="1"/>
  <c r="G194" i="7"/>
  <c r="H194" i="7" s="1"/>
  <c r="L193" i="7"/>
  <c r="M193" i="7" s="1"/>
  <c r="N193" i="7" s="1"/>
  <c r="G193" i="7"/>
  <c r="H193" i="7" s="1"/>
  <c r="I193" i="7" s="1"/>
  <c r="J193" i="7" s="1"/>
  <c r="L192" i="7"/>
  <c r="M192" i="7" s="1"/>
  <c r="G192" i="7"/>
  <c r="H192" i="7" s="1"/>
  <c r="L191" i="7"/>
  <c r="M191" i="7" s="1"/>
  <c r="G191" i="7"/>
  <c r="H191" i="7" s="1"/>
  <c r="L190" i="7"/>
  <c r="M190" i="7" s="1"/>
  <c r="G190" i="7"/>
  <c r="H190" i="7" s="1"/>
  <c r="L189" i="7"/>
  <c r="M189" i="7" s="1"/>
  <c r="G189" i="7"/>
  <c r="H189" i="7" s="1"/>
  <c r="I189" i="7" s="1"/>
  <c r="J189" i="7" s="1"/>
  <c r="L188" i="7"/>
  <c r="M188" i="7" s="1"/>
  <c r="G188" i="7"/>
  <c r="H188" i="7" s="1"/>
  <c r="L187" i="7"/>
  <c r="M187" i="7" s="1"/>
  <c r="G187" i="7"/>
  <c r="H187" i="7" s="1"/>
  <c r="I187" i="7" s="1"/>
  <c r="L186" i="7"/>
  <c r="M186" i="7" s="1"/>
  <c r="G186" i="7"/>
  <c r="H186" i="7" s="1"/>
  <c r="L184" i="7"/>
  <c r="M184" i="7" s="1"/>
  <c r="G184" i="7"/>
  <c r="H184" i="7" s="1"/>
  <c r="L183" i="7"/>
  <c r="M183" i="7" s="1"/>
  <c r="G183" i="7"/>
  <c r="H183" i="7" s="1"/>
  <c r="L182" i="7"/>
  <c r="M182" i="7" s="1"/>
  <c r="G182" i="7"/>
  <c r="H182" i="7" s="1"/>
  <c r="L181" i="7"/>
  <c r="M181" i="7" s="1"/>
  <c r="G181" i="7"/>
  <c r="H181" i="7" s="1"/>
  <c r="L180" i="7"/>
  <c r="M180" i="7" s="1"/>
  <c r="N180" i="7" s="1"/>
  <c r="O180" i="7" s="1"/>
  <c r="G180" i="7"/>
  <c r="H180" i="7" s="1"/>
  <c r="L179" i="7"/>
  <c r="M179" i="7" s="1"/>
  <c r="G179" i="7"/>
  <c r="H179" i="7" s="1"/>
  <c r="L178" i="7"/>
  <c r="M178" i="7" s="1"/>
  <c r="G178" i="7"/>
  <c r="H178" i="7" s="1"/>
  <c r="L177" i="7"/>
  <c r="M177" i="7" s="1"/>
  <c r="G177" i="7"/>
  <c r="H177" i="7" s="1"/>
  <c r="L176" i="7"/>
  <c r="M176" i="7" s="1"/>
  <c r="G176" i="7"/>
  <c r="H176" i="7" s="1"/>
  <c r="L175" i="7"/>
  <c r="M175" i="7" s="1"/>
  <c r="G175" i="7"/>
  <c r="H175" i="7" s="1"/>
  <c r="L174" i="7"/>
  <c r="M174" i="7" s="1"/>
  <c r="G174" i="7"/>
  <c r="H174" i="7" s="1"/>
  <c r="I174" i="7" s="1"/>
  <c r="J174" i="7" s="1"/>
  <c r="L173" i="7"/>
  <c r="M173" i="7" s="1"/>
  <c r="G173" i="7"/>
  <c r="H173" i="7" s="1"/>
  <c r="L172" i="7"/>
  <c r="M172" i="7" s="1"/>
  <c r="G172" i="7"/>
  <c r="H172" i="7" s="1"/>
  <c r="L171" i="7"/>
  <c r="M171" i="7" s="1"/>
  <c r="G171" i="7"/>
  <c r="H171" i="7" s="1"/>
  <c r="L170" i="7"/>
  <c r="M170" i="7" s="1"/>
  <c r="G170" i="7"/>
  <c r="H170" i="7" s="1"/>
  <c r="L169" i="7"/>
  <c r="M169" i="7" s="1"/>
  <c r="G169" i="7"/>
  <c r="H169" i="7" s="1"/>
  <c r="L168" i="7"/>
  <c r="M168" i="7" s="1"/>
  <c r="G168" i="7"/>
  <c r="H168" i="7" s="1"/>
  <c r="L167" i="7"/>
  <c r="M167" i="7" s="1"/>
  <c r="G167" i="7"/>
  <c r="H167" i="7" s="1"/>
  <c r="L166" i="7"/>
  <c r="M166" i="7" s="1"/>
  <c r="G166" i="7"/>
  <c r="H166" i="7" s="1"/>
  <c r="L165" i="7"/>
  <c r="M165" i="7" s="1"/>
  <c r="G165" i="7"/>
  <c r="H165" i="7" s="1"/>
  <c r="I165" i="7" s="1"/>
  <c r="J165" i="7" s="1"/>
  <c r="L164" i="7"/>
  <c r="M164" i="7" s="1"/>
  <c r="N164" i="7" s="1"/>
  <c r="G164" i="7"/>
  <c r="H164" i="7" s="1"/>
  <c r="L163" i="7"/>
  <c r="M163" i="7" s="1"/>
  <c r="G163" i="7"/>
  <c r="H163" i="7" s="1"/>
  <c r="L162" i="7"/>
  <c r="M162" i="7" s="1"/>
  <c r="G162" i="7"/>
  <c r="H162" i="7" s="1"/>
  <c r="L161" i="7"/>
  <c r="M161" i="7" s="1"/>
  <c r="G161" i="7"/>
  <c r="H161" i="7" s="1"/>
  <c r="L160" i="7"/>
  <c r="M160" i="7" s="1"/>
  <c r="G160" i="7"/>
  <c r="H160" i="7" s="1"/>
  <c r="L159" i="7"/>
  <c r="M159" i="7" s="1"/>
  <c r="G159" i="7"/>
  <c r="H159" i="7" s="1"/>
  <c r="I159" i="7" s="1"/>
  <c r="L158" i="7"/>
  <c r="M158" i="7" s="1"/>
  <c r="G158" i="7"/>
  <c r="H158" i="7" s="1"/>
  <c r="L157" i="7"/>
  <c r="M157" i="7" s="1"/>
  <c r="G157" i="7"/>
  <c r="H157" i="7" s="1"/>
  <c r="L156" i="7"/>
  <c r="M156" i="7" s="1"/>
  <c r="G156" i="7"/>
  <c r="H156" i="7" s="1"/>
  <c r="L155" i="7"/>
  <c r="M155" i="7" s="1"/>
  <c r="N155" i="7" s="1"/>
  <c r="G155" i="7"/>
  <c r="H155" i="7" s="1"/>
  <c r="L154" i="7"/>
  <c r="M154" i="7" s="1"/>
  <c r="G154" i="7"/>
  <c r="H154" i="7" s="1"/>
  <c r="L153" i="7"/>
  <c r="M153" i="7" s="1"/>
  <c r="N153" i="7" s="1"/>
  <c r="O153" i="7" s="1"/>
  <c r="G153" i="7"/>
  <c r="H153" i="7" s="1"/>
  <c r="L152" i="7"/>
  <c r="M152" i="7" s="1"/>
  <c r="G152" i="7"/>
  <c r="H152" i="7" s="1"/>
  <c r="I152" i="7" s="1"/>
  <c r="L151" i="7"/>
  <c r="M151" i="7" s="1"/>
  <c r="G151" i="7"/>
  <c r="H151" i="7" s="1"/>
  <c r="I151" i="7" s="1"/>
  <c r="L150" i="7"/>
  <c r="M150" i="7" s="1"/>
  <c r="G150" i="7"/>
  <c r="H150" i="7" s="1"/>
  <c r="L149" i="7"/>
  <c r="M149" i="7" s="1"/>
  <c r="N149" i="7" s="1"/>
  <c r="G149" i="7"/>
  <c r="H149" i="7" s="1"/>
  <c r="L148" i="7"/>
  <c r="M148" i="7" s="1"/>
  <c r="G148" i="7"/>
  <c r="H148" i="7" s="1"/>
  <c r="L147" i="7"/>
  <c r="M147" i="7" s="1"/>
  <c r="G147" i="7"/>
  <c r="H147" i="7" s="1"/>
  <c r="L146" i="7"/>
  <c r="M146" i="7" s="1"/>
  <c r="G146" i="7"/>
  <c r="H146" i="7" s="1"/>
  <c r="L145" i="7"/>
  <c r="M145" i="7" s="1"/>
  <c r="G145" i="7"/>
  <c r="H145" i="7" s="1"/>
  <c r="L144" i="7"/>
  <c r="M144" i="7" s="1"/>
  <c r="G144" i="7"/>
  <c r="H144" i="7" s="1"/>
  <c r="L143" i="7"/>
  <c r="M143" i="7" s="1"/>
  <c r="G143" i="7"/>
  <c r="H143" i="7" s="1"/>
  <c r="L142" i="7"/>
  <c r="M142" i="7" s="1"/>
  <c r="G142" i="7"/>
  <c r="H142" i="7" s="1"/>
  <c r="I142" i="7" s="1"/>
  <c r="J142" i="7" s="1"/>
  <c r="L141" i="7"/>
  <c r="M141" i="7" s="1"/>
  <c r="G141" i="7"/>
  <c r="H141" i="7" s="1"/>
  <c r="L140" i="7"/>
  <c r="M140" i="7" s="1"/>
  <c r="G140" i="7"/>
  <c r="H140" i="7" s="1"/>
  <c r="L139" i="7"/>
  <c r="M139" i="7" s="1"/>
  <c r="G139" i="7"/>
  <c r="H139" i="7" s="1"/>
  <c r="L138" i="7"/>
  <c r="M138" i="7" s="1"/>
  <c r="N138" i="7" s="1"/>
  <c r="G138" i="7"/>
  <c r="H138" i="7" s="1"/>
  <c r="L137" i="7"/>
  <c r="M137" i="7" s="1"/>
  <c r="G137" i="7"/>
  <c r="H137" i="7" s="1"/>
  <c r="L136" i="7"/>
  <c r="M136" i="7" s="1"/>
  <c r="G136" i="7"/>
  <c r="H136" i="7" s="1"/>
  <c r="L135" i="7"/>
  <c r="M135" i="7" s="1"/>
  <c r="N135" i="7" s="1"/>
  <c r="O135" i="7" s="1"/>
  <c r="G135" i="7"/>
  <c r="H135" i="7" s="1"/>
  <c r="L134" i="7"/>
  <c r="M134" i="7" s="1"/>
  <c r="G134" i="7"/>
  <c r="H134" i="7" s="1"/>
  <c r="L133" i="7"/>
  <c r="M133" i="7" s="1"/>
  <c r="N133" i="7" s="1"/>
  <c r="G133" i="7"/>
  <c r="H133" i="7" s="1"/>
  <c r="L132" i="7"/>
  <c r="M132" i="7" s="1"/>
  <c r="G132" i="7"/>
  <c r="H132" i="7" s="1"/>
  <c r="L131" i="7"/>
  <c r="M131" i="7" s="1"/>
  <c r="G131" i="7"/>
  <c r="H131" i="7" s="1"/>
  <c r="L130" i="7"/>
  <c r="M130" i="7" s="1"/>
  <c r="G130" i="7"/>
  <c r="H130" i="7" s="1"/>
  <c r="L129" i="7"/>
  <c r="M129" i="7" s="1"/>
  <c r="G129" i="7"/>
  <c r="H129" i="7" s="1"/>
  <c r="L128" i="7"/>
  <c r="M128" i="7" s="1"/>
  <c r="G128" i="7"/>
  <c r="H128" i="7" s="1"/>
  <c r="L127" i="7"/>
  <c r="M127" i="7" s="1"/>
  <c r="G127" i="7"/>
  <c r="H127" i="7" s="1"/>
  <c r="I127" i="7" s="1"/>
  <c r="J127" i="7" s="1"/>
  <c r="L126" i="7"/>
  <c r="M126" i="7" s="1"/>
  <c r="G126" i="7"/>
  <c r="H126" i="7" s="1"/>
  <c r="L125" i="7"/>
  <c r="M125" i="7" s="1"/>
  <c r="G125" i="7"/>
  <c r="H125" i="7" s="1"/>
  <c r="I125" i="7" s="1"/>
  <c r="J125" i="7" s="1"/>
  <c r="L124" i="7"/>
  <c r="M124" i="7" s="1"/>
  <c r="G124" i="7"/>
  <c r="H124" i="7" s="1"/>
  <c r="L123" i="7"/>
  <c r="M123" i="7" s="1"/>
  <c r="G123" i="7"/>
  <c r="H123" i="7" s="1"/>
  <c r="L122" i="7"/>
  <c r="M122" i="7" s="1"/>
  <c r="G122" i="7"/>
  <c r="H122" i="7" s="1"/>
  <c r="I122" i="7" s="1"/>
  <c r="J122" i="7" s="1"/>
  <c r="L121" i="7"/>
  <c r="M121" i="7" s="1"/>
  <c r="G121" i="7"/>
  <c r="H121" i="7" s="1"/>
  <c r="L120" i="7"/>
  <c r="M120" i="7" s="1"/>
  <c r="N120" i="7" s="1"/>
  <c r="G120" i="7"/>
  <c r="H120" i="7" s="1"/>
  <c r="L119" i="7"/>
  <c r="M119" i="7" s="1"/>
  <c r="G119" i="7"/>
  <c r="H119" i="7" s="1"/>
  <c r="L118" i="7"/>
  <c r="M118" i="7" s="1"/>
  <c r="G118" i="7"/>
  <c r="H118" i="7" s="1"/>
  <c r="L117" i="7"/>
  <c r="M117" i="7" s="1"/>
  <c r="N117" i="7" s="1"/>
  <c r="G117" i="7"/>
  <c r="H117" i="7" s="1"/>
  <c r="L116" i="7"/>
  <c r="M116" i="7" s="1"/>
  <c r="G116" i="7"/>
  <c r="H116" i="7" s="1"/>
  <c r="L115" i="7"/>
  <c r="M115" i="7" s="1"/>
  <c r="G115" i="7"/>
  <c r="H115" i="7" s="1"/>
  <c r="L114" i="7"/>
  <c r="M114" i="7" s="1"/>
  <c r="G114" i="7"/>
  <c r="H114" i="7" s="1"/>
  <c r="L113" i="7"/>
  <c r="M113" i="7" s="1"/>
  <c r="G113" i="7"/>
  <c r="H113" i="7" s="1"/>
  <c r="I113" i="7" s="1"/>
  <c r="L112" i="7"/>
  <c r="M112" i="7" s="1"/>
  <c r="G112" i="7"/>
  <c r="H112" i="7" s="1"/>
  <c r="L111" i="7"/>
  <c r="M111" i="7" s="1"/>
  <c r="G111" i="7"/>
  <c r="H111" i="7" s="1"/>
  <c r="I111" i="7" s="1"/>
  <c r="L110" i="7"/>
  <c r="M110" i="7" s="1"/>
  <c r="G110" i="7"/>
  <c r="H110" i="7" s="1"/>
  <c r="L108" i="7"/>
  <c r="M108" i="7" s="1"/>
  <c r="N108" i="7" s="1"/>
  <c r="G108" i="7"/>
  <c r="H108" i="7" s="1"/>
  <c r="L107" i="7"/>
  <c r="M107" i="7" s="1"/>
  <c r="G107" i="7"/>
  <c r="H107" i="7" s="1"/>
  <c r="L106" i="7"/>
  <c r="M106" i="7" s="1"/>
  <c r="G106" i="7"/>
  <c r="H106" i="7" s="1"/>
  <c r="L104" i="7"/>
  <c r="M104" i="7" s="1"/>
  <c r="G104" i="7"/>
  <c r="H104" i="7" s="1"/>
  <c r="L103" i="7"/>
  <c r="M103" i="7" s="1"/>
  <c r="G103" i="7"/>
  <c r="H103" i="7" s="1"/>
  <c r="L102" i="7"/>
  <c r="M102" i="7" s="1"/>
  <c r="G102" i="7"/>
  <c r="H102" i="7" s="1"/>
  <c r="I102" i="7" s="1"/>
  <c r="L101" i="7"/>
  <c r="M101" i="7" s="1"/>
  <c r="G101" i="7"/>
  <c r="H101" i="7" s="1"/>
  <c r="L99" i="7"/>
  <c r="M99" i="7" s="1"/>
  <c r="G99" i="7"/>
  <c r="H99" i="7" s="1"/>
  <c r="L98" i="7"/>
  <c r="M98" i="7" s="1"/>
  <c r="G98" i="7"/>
  <c r="H98" i="7" s="1"/>
  <c r="L97" i="7"/>
  <c r="M97" i="7" s="1"/>
  <c r="G97" i="7"/>
  <c r="H97" i="7" s="1"/>
  <c r="L96" i="7"/>
  <c r="M96" i="7" s="1"/>
  <c r="G96" i="7"/>
  <c r="H96" i="7" s="1"/>
  <c r="L95" i="7"/>
  <c r="M95" i="7" s="1"/>
  <c r="G95" i="7"/>
  <c r="H95" i="7" s="1"/>
  <c r="L94" i="7"/>
  <c r="M94" i="7" s="1"/>
  <c r="G94" i="7"/>
  <c r="H94" i="7" s="1"/>
  <c r="L93" i="7"/>
  <c r="M93" i="7" s="1"/>
  <c r="G93" i="7"/>
  <c r="H93" i="7" s="1"/>
  <c r="L92" i="7"/>
  <c r="M92" i="7" s="1"/>
  <c r="G92" i="7"/>
  <c r="H92" i="7" s="1"/>
  <c r="L91" i="7"/>
  <c r="M91" i="7" s="1"/>
  <c r="G91" i="7"/>
  <c r="H91" i="7" s="1"/>
  <c r="L90" i="7"/>
  <c r="M90" i="7" s="1"/>
  <c r="G90" i="7"/>
  <c r="H90" i="7" s="1"/>
  <c r="I90" i="7" s="1"/>
  <c r="J90" i="7" s="1"/>
  <c r="L89" i="7"/>
  <c r="M89" i="7" s="1"/>
  <c r="G89" i="7"/>
  <c r="H89" i="7" s="1"/>
  <c r="L88" i="7"/>
  <c r="M88" i="7" s="1"/>
  <c r="G88" i="7"/>
  <c r="H88" i="7" s="1"/>
  <c r="I88" i="7" s="1"/>
  <c r="L87" i="7"/>
  <c r="M87" i="7" s="1"/>
  <c r="G87" i="7"/>
  <c r="H87" i="7" s="1"/>
  <c r="L86" i="7"/>
  <c r="M86" i="7" s="1"/>
  <c r="G86" i="7"/>
  <c r="H86" i="7" s="1"/>
  <c r="L85" i="7"/>
  <c r="M85" i="7" s="1"/>
  <c r="N85" i="7" s="1"/>
  <c r="G85" i="7"/>
  <c r="H85" i="7" s="1"/>
  <c r="L84" i="7"/>
  <c r="M84" i="7" s="1"/>
  <c r="G84" i="7"/>
  <c r="H84" i="7" s="1"/>
  <c r="L83" i="7"/>
  <c r="M83" i="7" s="1"/>
  <c r="G83" i="7"/>
  <c r="H83" i="7" s="1"/>
  <c r="L81" i="7"/>
  <c r="M81" i="7" s="1"/>
  <c r="G81" i="7"/>
  <c r="H81" i="7" s="1"/>
  <c r="L80" i="7"/>
  <c r="M80" i="7" s="1"/>
  <c r="G80" i="7"/>
  <c r="H80" i="7" s="1"/>
  <c r="L79" i="7"/>
  <c r="M79" i="7" s="1"/>
  <c r="G79" i="7"/>
  <c r="H79" i="7" s="1"/>
  <c r="L78" i="7"/>
  <c r="M78" i="7" s="1"/>
  <c r="G78" i="7"/>
  <c r="H78" i="7" s="1"/>
  <c r="L77" i="7"/>
  <c r="M77" i="7" s="1"/>
  <c r="G77" i="7"/>
  <c r="H77" i="7" s="1"/>
  <c r="L76" i="7"/>
  <c r="M76" i="7" s="1"/>
  <c r="G76" i="7"/>
  <c r="H76" i="7" s="1"/>
  <c r="L75" i="7"/>
  <c r="M75" i="7" s="1"/>
  <c r="N75" i="7" s="1"/>
  <c r="G75" i="7"/>
  <c r="H75" i="7" s="1"/>
  <c r="L74" i="7"/>
  <c r="M74" i="7" s="1"/>
  <c r="G74" i="7"/>
  <c r="H74" i="7" s="1"/>
  <c r="L73" i="7"/>
  <c r="M73" i="7" s="1"/>
  <c r="G73" i="7"/>
  <c r="H73" i="7" s="1"/>
  <c r="L72" i="7"/>
  <c r="M72" i="7" s="1"/>
  <c r="G72" i="7"/>
  <c r="H72" i="7" s="1"/>
  <c r="L71" i="7"/>
  <c r="M71" i="7" s="1"/>
  <c r="G71" i="7"/>
  <c r="H71" i="7" s="1"/>
  <c r="L70" i="7"/>
  <c r="M70" i="7" s="1"/>
  <c r="G70" i="7"/>
  <c r="H70" i="7" s="1"/>
  <c r="L69" i="7"/>
  <c r="M69" i="7" s="1"/>
  <c r="G69" i="7"/>
  <c r="H69" i="7" s="1"/>
  <c r="L68" i="7"/>
  <c r="M68" i="7" s="1"/>
  <c r="G68" i="7"/>
  <c r="H68" i="7" s="1"/>
  <c r="L67" i="7"/>
  <c r="M67" i="7" s="1"/>
  <c r="G67" i="7"/>
  <c r="H67" i="7" s="1"/>
  <c r="I67" i="7" s="1"/>
  <c r="L66" i="7"/>
  <c r="M66" i="7" s="1"/>
  <c r="G66" i="7"/>
  <c r="H66" i="7" s="1"/>
  <c r="L65" i="7"/>
  <c r="M65" i="7" s="1"/>
  <c r="G65" i="7"/>
  <c r="H65" i="7" s="1"/>
  <c r="L64" i="7"/>
  <c r="M64" i="7" s="1"/>
  <c r="G64" i="7"/>
  <c r="H64" i="7" s="1"/>
  <c r="I64" i="7" s="1"/>
  <c r="L63" i="7"/>
  <c r="M63" i="7" s="1"/>
  <c r="G63" i="7"/>
  <c r="H63" i="7" s="1"/>
  <c r="I63" i="7" s="1"/>
  <c r="J63" i="7" s="1"/>
  <c r="L62" i="7"/>
  <c r="M62" i="7" s="1"/>
  <c r="G62" i="7"/>
  <c r="H62" i="7" s="1"/>
  <c r="L61" i="7"/>
  <c r="M61" i="7" s="1"/>
  <c r="G61" i="7"/>
  <c r="H61" i="7" s="1"/>
  <c r="L60" i="7"/>
  <c r="M60" i="7" s="1"/>
  <c r="G60" i="7"/>
  <c r="H60" i="7" s="1"/>
  <c r="L59" i="7"/>
  <c r="M59" i="7" s="1"/>
  <c r="G59" i="7"/>
  <c r="H59" i="7" s="1"/>
  <c r="L57" i="7"/>
  <c r="M57" i="7" s="1"/>
  <c r="G57" i="7"/>
  <c r="H57" i="7" s="1"/>
  <c r="L56" i="7"/>
  <c r="M56" i="7" s="1"/>
  <c r="G56" i="7"/>
  <c r="H56" i="7" s="1"/>
  <c r="L55" i="7"/>
  <c r="M55" i="7" s="1"/>
  <c r="N55" i="7" s="1"/>
  <c r="G55" i="7"/>
  <c r="H55" i="7" s="1"/>
  <c r="L54" i="7"/>
  <c r="M54" i="7" s="1"/>
  <c r="G54" i="7"/>
  <c r="H54" i="7" s="1"/>
  <c r="L53" i="7"/>
  <c r="M53" i="7" s="1"/>
  <c r="G53" i="7"/>
  <c r="H53" i="7" s="1"/>
  <c r="L52" i="7"/>
  <c r="M52" i="7" s="1"/>
  <c r="G52" i="7"/>
  <c r="H52" i="7" s="1"/>
  <c r="I52" i="7" s="1"/>
  <c r="L51" i="7"/>
  <c r="M51" i="7" s="1"/>
  <c r="G51" i="7"/>
  <c r="H51" i="7" s="1"/>
  <c r="I51" i="7" s="1"/>
  <c r="L50" i="7"/>
  <c r="M50" i="7" s="1"/>
  <c r="G50" i="7"/>
  <c r="H50" i="7" s="1"/>
  <c r="L49" i="7"/>
  <c r="M49" i="7" s="1"/>
  <c r="G49" i="7"/>
  <c r="H49" i="7" s="1"/>
  <c r="L48" i="7"/>
  <c r="M48" i="7" s="1"/>
  <c r="G48" i="7"/>
  <c r="H48" i="7" s="1"/>
  <c r="L47" i="7"/>
  <c r="M47" i="7" s="1"/>
  <c r="G47" i="7"/>
  <c r="H47" i="7" s="1"/>
  <c r="L45" i="7"/>
  <c r="M45" i="7" s="1"/>
  <c r="G45" i="7"/>
  <c r="H45" i="7" s="1"/>
  <c r="L44" i="7"/>
  <c r="M44" i="7" s="1"/>
  <c r="G44" i="7"/>
  <c r="H44" i="7" s="1"/>
  <c r="L43" i="7"/>
  <c r="M43" i="7" s="1"/>
  <c r="G43" i="7"/>
  <c r="H43" i="7" s="1"/>
  <c r="L42" i="7"/>
  <c r="M42" i="7" s="1"/>
  <c r="G42" i="7"/>
  <c r="H42" i="7" s="1"/>
  <c r="L41" i="7"/>
  <c r="M41" i="7" s="1"/>
  <c r="N41" i="7" s="1"/>
  <c r="G41" i="7"/>
  <c r="H41" i="7" s="1"/>
  <c r="L40" i="7"/>
  <c r="M40" i="7" s="1"/>
  <c r="G40" i="7"/>
  <c r="H40" i="7" s="1"/>
  <c r="L39" i="7"/>
  <c r="M39" i="7" s="1"/>
  <c r="G39" i="7"/>
  <c r="H39" i="7" s="1"/>
  <c r="L38" i="7"/>
  <c r="M38" i="7" s="1"/>
  <c r="G38" i="7"/>
  <c r="H38" i="7" s="1"/>
  <c r="L36" i="7"/>
  <c r="M36" i="7" s="1"/>
  <c r="G36" i="7"/>
  <c r="H36" i="7" s="1"/>
  <c r="L35" i="7"/>
  <c r="M35" i="7" s="1"/>
  <c r="G35" i="7"/>
  <c r="H35" i="7" s="1"/>
  <c r="L34" i="7"/>
  <c r="M34" i="7" s="1"/>
  <c r="G34" i="7"/>
  <c r="H34" i="7" s="1"/>
  <c r="L33" i="7"/>
  <c r="M33" i="7" s="1"/>
  <c r="G33" i="7"/>
  <c r="H33" i="7" s="1"/>
  <c r="L32" i="7"/>
  <c r="M32" i="7" s="1"/>
  <c r="G32" i="7"/>
  <c r="H32" i="7" s="1"/>
  <c r="I32" i="7" s="1"/>
  <c r="L31" i="7"/>
  <c r="M31" i="7" s="1"/>
  <c r="G31" i="7"/>
  <c r="H31" i="7" s="1"/>
  <c r="L30" i="7"/>
  <c r="M30" i="7" s="1"/>
  <c r="N30" i="7" s="1"/>
  <c r="G30" i="7"/>
  <c r="H30" i="7" s="1"/>
  <c r="L29" i="7"/>
  <c r="M29" i="7" s="1"/>
  <c r="G29" i="7"/>
  <c r="H29" i="7" s="1"/>
  <c r="L28" i="7"/>
  <c r="M28" i="7" s="1"/>
  <c r="G28" i="7"/>
  <c r="H28" i="7" s="1"/>
  <c r="I28" i="7" s="1"/>
  <c r="J28" i="7" s="1"/>
  <c r="L27" i="7"/>
  <c r="M27" i="7" s="1"/>
  <c r="G27" i="7"/>
  <c r="H27" i="7" s="1"/>
  <c r="L26" i="7"/>
  <c r="M26" i="7" s="1"/>
  <c r="G26" i="7"/>
  <c r="H26" i="7" s="1"/>
  <c r="L25" i="7"/>
  <c r="M25" i="7" s="1"/>
  <c r="G25" i="7"/>
  <c r="H25" i="7" s="1"/>
  <c r="L24" i="7"/>
  <c r="M24" i="7" s="1"/>
  <c r="G24" i="7"/>
  <c r="H24" i="7" s="1"/>
  <c r="L23" i="7"/>
  <c r="M23" i="7" s="1"/>
  <c r="G23" i="7"/>
  <c r="H23" i="7" s="1"/>
  <c r="L22" i="7"/>
  <c r="M22" i="7" s="1"/>
  <c r="G22" i="7"/>
  <c r="H22" i="7" s="1"/>
  <c r="L21" i="7"/>
  <c r="M21" i="7" s="1"/>
  <c r="G21" i="7"/>
  <c r="H21" i="7" s="1"/>
  <c r="L20" i="7"/>
  <c r="M20" i="7" s="1"/>
  <c r="G20" i="7"/>
  <c r="H20" i="7" s="1"/>
  <c r="I20" i="7" s="1"/>
  <c r="L19" i="7"/>
  <c r="M19" i="7" s="1"/>
  <c r="G19" i="7"/>
  <c r="H19" i="7" s="1"/>
  <c r="L18" i="7"/>
  <c r="M18" i="7" s="1"/>
  <c r="G18" i="7"/>
  <c r="H18" i="7" s="1"/>
  <c r="L17" i="7"/>
  <c r="M17" i="7" s="1"/>
  <c r="G17" i="7"/>
  <c r="H17" i="7" s="1"/>
  <c r="I17" i="7" s="1"/>
  <c r="L16" i="7"/>
  <c r="M16" i="7" s="1"/>
  <c r="G16" i="7"/>
  <c r="H16" i="7" s="1"/>
  <c r="L15" i="7"/>
  <c r="M15" i="7" s="1"/>
  <c r="G15" i="7"/>
  <c r="H15" i="7" s="1"/>
  <c r="L14" i="7"/>
  <c r="M14" i="7" s="1"/>
  <c r="G14" i="7"/>
  <c r="H14" i="7" s="1"/>
  <c r="I14" i="7" s="1"/>
  <c r="L13" i="7"/>
  <c r="M13" i="7" s="1"/>
  <c r="G13" i="7"/>
  <c r="H13" i="7" s="1"/>
  <c r="L12" i="7"/>
  <c r="M12" i="7" s="1"/>
  <c r="G12" i="7"/>
  <c r="H12" i="7" s="1"/>
  <c r="L166" i="5"/>
  <c r="M166" i="5" s="1"/>
  <c r="G166" i="5"/>
  <c r="H166" i="5" s="1"/>
  <c r="L165" i="5"/>
  <c r="M165" i="5" s="1"/>
  <c r="G165" i="5"/>
  <c r="H165" i="5" s="1"/>
  <c r="L164" i="5"/>
  <c r="M164" i="5" s="1"/>
  <c r="G164" i="5"/>
  <c r="H164" i="5" s="1"/>
  <c r="L163" i="5"/>
  <c r="M163" i="5" s="1"/>
  <c r="G163" i="5"/>
  <c r="H163" i="5" s="1"/>
  <c r="L162" i="5"/>
  <c r="M162" i="5" s="1"/>
  <c r="G162" i="5"/>
  <c r="H162" i="5" s="1"/>
  <c r="L160" i="5"/>
  <c r="M160" i="5" s="1"/>
  <c r="G160" i="5"/>
  <c r="H160" i="5" s="1"/>
  <c r="L159" i="5"/>
  <c r="M159" i="5" s="1"/>
  <c r="G159" i="5"/>
  <c r="H159" i="5" s="1"/>
  <c r="L158" i="5"/>
  <c r="M158" i="5" s="1"/>
  <c r="G158" i="5"/>
  <c r="H158" i="5" s="1"/>
  <c r="L157" i="5"/>
  <c r="M157" i="5" s="1"/>
  <c r="G157" i="5"/>
  <c r="H157" i="5" s="1"/>
  <c r="L156" i="5"/>
  <c r="M156" i="5" s="1"/>
  <c r="G156" i="5"/>
  <c r="H156" i="5" s="1"/>
  <c r="I156" i="5" s="1"/>
  <c r="J156" i="5" s="1"/>
  <c r="L155" i="5"/>
  <c r="M155" i="5" s="1"/>
  <c r="G155" i="5"/>
  <c r="H155" i="5" s="1"/>
  <c r="L154" i="5"/>
  <c r="M154" i="5" s="1"/>
  <c r="G154" i="5"/>
  <c r="H154" i="5" s="1"/>
  <c r="L153" i="5"/>
  <c r="M153" i="5" s="1"/>
  <c r="G153" i="5"/>
  <c r="H153" i="5" s="1"/>
  <c r="L152" i="5"/>
  <c r="M152" i="5" s="1"/>
  <c r="G152" i="5"/>
  <c r="H152" i="5" s="1"/>
  <c r="L151" i="5"/>
  <c r="M151" i="5" s="1"/>
  <c r="G151" i="5"/>
  <c r="H151" i="5" s="1"/>
  <c r="L150" i="5"/>
  <c r="M150" i="5" s="1"/>
  <c r="N150" i="5" s="1"/>
  <c r="O150" i="5" s="1"/>
  <c r="G150" i="5"/>
  <c r="H150" i="5" s="1"/>
  <c r="L149" i="5"/>
  <c r="M149" i="5" s="1"/>
  <c r="G149" i="5"/>
  <c r="H149" i="5" s="1"/>
  <c r="L148" i="5"/>
  <c r="M148" i="5" s="1"/>
  <c r="G148" i="5"/>
  <c r="H148" i="5" s="1"/>
  <c r="I148" i="5" s="1"/>
  <c r="L147" i="5"/>
  <c r="M147" i="5" s="1"/>
  <c r="G147" i="5"/>
  <c r="H147" i="5" s="1"/>
  <c r="L146" i="5"/>
  <c r="M146" i="5" s="1"/>
  <c r="G146" i="5"/>
  <c r="H146" i="5" s="1"/>
  <c r="L145" i="5"/>
  <c r="M145" i="5" s="1"/>
  <c r="G145" i="5"/>
  <c r="H145" i="5" s="1"/>
  <c r="L144" i="5"/>
  <c r="M144" i="5" s="1"/>
  <c r="G144" i="5"/>
  <c r="H144" i="5" s="1"/>
  <c r="L143" i="5"/>
  <c r="M143" i="5" s="1"/>
  <c r="G143" i="5"/>
  <c r="H143" i="5" s="1"/>
  <c r="L141" i="5"/>
  <c r="M141" i="5" s="1"/>
  <c r="G141" i="5"/>
  <c r="H141" i="5" s="1"/>
  <c r="L139" i="5"/>
  <c r="M139" i="5" s="1"/>
  <c r="G139" i="5"/>
  <c r="H139" i="5" s="1"/>
  <c r="L138" i="5"/>
  <c r="M138" i="5" s="1"/>
  <c r="G138" i="5"/>
  <c r="H138" i="5" s="1"/>
  <c r="L137" i="5"/>
  <c r="M137" i="5" s="1"/>
  <c r="G137" i="5"/>
  <c r="H137" i="5" s="1"/>
  <c r="L136" i="5"/>
  <c r="M136" i="5" s="1"/>
  <c r="G136" i="5"/>
  <c r="H136" i="5" s="1"/>
  <c r="L135" i="5"/>
  <c r="M135" i="5" s="1"/>
  <c r="G135" i="5"/>
  <c r="H135" i="5" s="1"/>
  <c r="L134" i="5"/>
  <c r="M134" i="5" s="1"/>
  <c r="G134" i="5"/>
  <c r="H134" i="5" s="1"/>
  <c r="L133" i="5"/>
  <c r="M133" i="5" s="1"/>
  <c r="G133" i="5"/>
  <c r="H133" i="5" s="1"/>
  <c r="L132" i="5"/>
  <c r="M132" i="5" s="1"/>
  <c r="N132" i="5" s="1"/>
  <c r="O132" i="5" s="1"/>
  <c r="G132" i="5"/>
  <c r="H132" i="5" s="1"/>
  <c r="L131" i="5"/>
  <c r="M131" i="5" s="1"/>
  <c r="G131" i="5"/>
  <c r="H131" i="5" s="1"/>
  <c r="L130" i="5"/>
  <c r="M130" i="5" s="1"/>
  <c r="N130" i="5" s="1"/>
  <c r="G130" i="5"/>
  <c r="H130" i="5" s="1"/>
  <c r="L129" i="5"/>
  <c r="M129" i="5" s="1"/>
  <c r="G129" i="5"/>
  <c r="H129" i="5" s="1"/>
  <c r="L128" i="5"/>
  <c r="M128" i="5" s="1"/>
  <c r="G128" i="5"/>
  <c r="H128" i="5" s="1"/>
  <c r="L127" i="5"/>
  <c r="M127" i="5" s="1"/>
  <c r="G127" i="5"/>
  <c r="H127" i="5" s="1"/>
  <c r="L126" i="5"/>
  <c r="M126" i="5" s="1"/>
  <c r="N126" i="5" s="1"/>
  <c r="G126" i="5"/>
  <c r="H126" i="5" s="1"/>
  <c r="L125" i="5"/>
  <c r="M125" i="5" s="1"/>
  <c r="G125" i="5"/>
  <c r="H125" i="5" s="1"/>
  <c r="L124" i="5"/>
  <c r="M124" i="5" s="1"/>
  <c r="G124" i="5"/>
  <c r="H124" i="5" s="1"/>
  <c r="I124" i="5" s="1"/>
  <c r="J124" i="5" s="1"/>
  <c r="L123" i="5"/>
  <c r="M123" i="5" s="1"/>
  <c r="G123" i="5"/>
  <c r="H123" i="5" s="1"/>
  <c r="L122" i="5"/>
  <c r="M122" i="5" s="1"/>
  <c r="N122" i="5" s="1"/>
  <c r="G122" i="5"/>
  <c r="H122" i="5" s="1"/>
  <c r="I122" i="5" s="1"/>
  <c r="L121" i="5"/>
  <c r="M121" i="5" s="1"/>
  <c r="G121" i="5"/>
  <c r="H121" i="5" s="1"/>
  <c r="L119" i="5"/>
  <c r="M119" i="5" s="1"/>
  <c r="G119" i="5"/>
  <c r="H119" i="5" s="1"/>
  <c r="L118" i="5"/>
  <c r="M118" i="5" s="1"/>
  <c r="H118" i="5"/>
  <c r="G118" i="5"/>
  <c r="L117" i="5"/>
  <c r="M117" i="5" s="1"/>
  <c r="G117" i="5"/>
  <c r="H117" i="5" s="1"/>
  <c r="I117" i="5" s="1"/>
  <c r="L116" i="5"/>
  <c r="M116" i="5" s="1"/>
  <c r="G116" i="5"/>
  <c r="H116" i="5" s="1"/>
  <c r="L115" i="5"/>
  <c r="M115" i="5" s="1"/>
  <c r="G115" i="5"/>
  <c r="H115" i="5" s="1"/>
  <c r="L114" i="5"/>
  <c r="M114" i="5" s="1"/>
  <c r="G114" i="5"/>
  <c r="H114" i="5" s="1"/>
  <c r="L112" i="5"/>
  <c r="M112" i="5" s="1"/>
  <c r="G112" i="5"/>
  <c r="H112" i="5" s="1"/>
  <c r="L111" i="5"/>
  <c r="M111" i="5" s="1"/>
  <c r="G111" i="5"/>
  <c r="H111" i="5" s="1"/>
  <c r="L110" i="5"/>
  <c r="M110" i="5" s="1"/>
  <c r="G110" i="5"/>
  <c r="H110" i="5" s="1"/>
  <c r="L109" i="5"/>
  <c r="M109" i="5" s="1"/>
  <c r="G109" i="5"/>
  <c r="H109" i="5" s="1"/>
  <c r="L108" i="5"/>
  <c r="M108" i="5" s="1"/>
  <c r="N108" i="5" s="1"/>
  <c r="G108" i="5"/>
  <c r="H108" i="5" s="1"/>
  <c r="L107" i="5"/>
  <c r="M107" i="5" s="1"/>
  <c r="G107" i="5"/>
  <c r="H107" i="5" s="1"/>
  <c r="L106" i="5"/>
  <c r="M106" i="5" s="1"/>
  <c r="G106" i="5"/>
  <c r="H106" i="5" s="1"/>
  <c r="L105" i="5"/>
  <c r="M105" i="5" s="1"/>
  <c r="G105" i="5"/>
  <c r="H105" i="5" s="1"/>
  <c r="L104" i="5"/>
  <c r="M104" i="5" s="1"/>
  <c r="N104" i="5" s="1"/>
  <c r="O104" i="5" s="1"/>
  <c r="G104" i="5"/>
  <c r="H104" i="5" s="1"/>
  <c r="L103" i="5"/>
  <c r="M103" i="5" s="1"/>
  <c r="G103" i="5"/>
  <c r="H103" i="5" s="1"/>
  <c r="L102" i="5"/>
  <c r="M102" i="5" s="1"/>
  <c r="N102" i="5" s="1"/>
  <c r="G102" i="5"/>
  <c r="H102" i="5" s="1"/>
  <c r="L101" i="5"/>
  <c r="M101" i="5" s="1"/>
  <c r="G101" i="5"/>
  <c r="H101" i="5" s="1"/>
  <c r="L100" i="5"/>
  <c r="M100" i="5" s="1"/>
  <c r="G100" i="5"/>
  <c r="H100" i="5" s="1"/>
  <c r="L99" i="5"/>
  <c r="M99" i="5" s="1"/>
  <c r="G99" i="5"/>
  <c r="H99" i="5" s="1"/>
  <c r="L98" i="5"/>
  <c r="M98" i="5" s="1"/>
  <c r="N98" i="5" s="1"/>
  <c r="G98" i="5"/>
  <c r="H98" i="5" s="1"/>
  <c r="L97" i="5"/>
  <c r="M97" i="5" s="1"/>
  <c r="G97" i="5"/>
  <c r="H97" i="5" s="1"/>
  <c r="L96" i="5"/>
  <c r="M96" i="5" s="1"/>
  <c r="G96" i="5"/>
  <c r="H96" i="5" s="1"/>
  <c r="I96" i="5" s="1"/>
  <c r="J96" i="5" s="1"/>
  <c r="L95" i="5"/>
  <c r="M95" i="5" s="1"/>
  <c r="G95" i="5"/>
  <c r="H95" i="5" s="1"/>
  <c r="L94" i="5"/>
  <c r="M94" i="5" s="1"/>
  <c r="G94" i="5"/>
  <c r="H94" i="5" s="1"/>
  <c r="I94" i="5" s="1"/>
  <c r="L93" i="5"/>
  <c r="M93" i="5" s="1"/>
  <c r="G93" i="5"/>
  <c r="H93" i="5" s="1"/>
  <c r="L92" i="5"/>
  <c r="M92" i="5" s="1"/>
  <c r="G92" i="5"/>
  <c r="H92" i="5" s="1"/>
  <c r="L91" i="5"/>
  <c r="M91" i="5" s="1"/>
  <c r="G91" i="5"/>
  <c r="H91" i="5" s="1"/>
  <c r="L90" i="5"/>
  <c r="M90" i="5" s="1"/>
  <c r="G90" i="5"/>
  <c r="H90" i="5" s="1"/>
  <c r="L89" i="5"/>
  <c r="M89" i="5" s="1"/>
  <c r="G89" i="5"/>
  <c r="H89" i="5" s="1"/>
  <c r="L88" i="5"/>
  <c r="M88" i="5" s="1"/>
  <c r="G88" i="5"/>
  <c r="H88" i="5" s="1"/>
  <c r="L87" i="5"/>
  <c r="M87" i="5" s="1"/>
  <c r="G87" i="5"/>
  <c r="H87" i="5" s="1"/>
  <c r="L86" i="5"/>
  <c r="M86" i="5" s="1"/>
  <c r="G86" i="5"/>
  <c r="H86" i="5" s="1"/>
  <c r="L85" i="5"/>
  <c r="M85" i="5" s="1"/>
  <c r="G85" i="5"/>
  <c r="H85" i="5" s="1"/>
  <c r="L84" i="5"/>
  <c r="M84" i="5" s="1"/>
  <c r="G84" i="5"/>
  <c r="H84" i="5" s="1"/>
  <c r="L83" i="5"/>
  <c r="M83" i="5" s="1"/>
  <c r="G83" i="5"/>
  <c r="H83" i="5" s="1"/>
  <c r="L82" i="5"/>
  <c r="M82" i="5" s="1"/>
  <c r="N82" i="5" s="1"/>
  <c r="G82" i="5"/>
  <c r="H82" i="5" s="1"/>
  <c r="I82" i="5" s="1"/>
  <c r="J82" i="5" s="1"/>
  <c r="L81" i="5"/>
  <c r="M81" i="5" s="1"/>
  <c r="G81" i="5"/>
  <c r="H81" i="5" s="1"/>
  <c r="L80" i="5"/>
  <c r="M80" i="5" s="1"/>
  <c r="G80" i="5"/>
  <c r="H80" i="5" s="1"/>
  <c r="I80" i="5" s="1"/>
  <c r="J80" i="5" s="1"/>
  <c r="L79" i="5"/>
  <c r="M79" i="5" s="1"/>
  <c r="G79" i="5"/>
  <c r="H79" i="5" s="1"/>
  <c r="L78" i="5"/>
  <c r="M78" i="5" s="1"/>
  <c r="N78" i="5" s="1"/>
  <c r="G78" i="5"/>
  <c r="H78" i="5" s="1"/>
  <c r="L77" i="5"/>
  <c r="M77" i="5" s="1"/>
  <c r="G77" i="5"/>
  <c r="H77" i="5" s="1"/>
  <c r="L76" i="5"/>
  <c r="M76" i="5" s="1"/>
  <c r="G76" i="5"/>
  <c r="H76" i="5" s="1"/>
  <c r="I76" i="5" s="1"/>
  <c r="J76" i="5" s="1"/>
  <c r="L75" i="5"/>
  <c r="M75" i="5" s="1"/>
  <c r="G75" i="5"/>
  <c r="H75" i="5" s="1"/>
  <c r="L74" i="5"/>
  <c r="M74" i="5" s="1"/>
  <c r="G74" i="5"/>
  <c r="H74" i="5" s="1"/>
  <c r="I74" i="5" s="1"/>
  <c r="L73" i="5"/>
  <c r="M73" i="5" s="1"/>
  <c r="G73" i="5"/>
  <c r="H73" i="5" s="1"/>
  <c r="L72" i="5"/>
  <c r="M72" i="5" s="1"/>
  <c r="G72" i="5"/>
  <c r="H72" i="5" s="1"/>
  <c r="L71" i="5"/>
  <c r="M71" i="5" s="1"/>
  <c r="G71" i="5"/>
  <c r="H71" i="5" s="1"/>
  <c r="L70" i="5"/>
  <c r="M70" i="5" s="1"/>
  <c r="G70" i="5"/>
  <c r="H70" i="5" s="1"/>
  <c r="L69" i="5"/>
  <c r="M69" i="5" s="1"/>
  <c r="G69" i="5"/>
  <c r="H69" i="5" s="1"/>
  <c r="L68" i="5"/>
  <c r="M68" i="5" s="1"/>
  <c r="N68" i="5" s="1"/>
  <c r="O68" i="5" s="1"/>
  <c r="G68" i="5"/>
  <c r="H68" i="5" s="1"/>
  <c r="L67" i="5"/>
  <c r="M67" i="5" s="1"/>
  <c r="G67" i="5"/>
  <c r="H67" i="5" s="1"/>
  <c r="L66" i="5"/>
  <c r="M66" i="5" s="1"/>
  <c r="G66" i="5"/>
  <c r="H66" i="5" s="1"/>
  <c r="L65" i="5"/>
  <c r="M65" i="5" s="1"/>
  <c r="G65" i="5"/>
  <c r="H65" i="5" s="1"/>
  <c r="L64" i="5"/>
  <c r="M64" i="5" s="1"/>
  <c r="G64" i="5"/>
  <c r="H64" i="5" s="1"/>
  <c r="L63" i="5"/>
  <c r="M63" i="5" s="1"/>
  <c r="G63" i="5"/>
  <c r="H63" i="5" s="1"/>
  <c r="I63" i="5" s="1"/>
  <c r="L62" i="5"/>
  <c r="M62" i="5" s="1"/>
  <c r="G62" i="5"/>
  <c r="H62" i="5" s="1"/>
  <c r="L61" i="5"/>
  <c r="M61" i="5" s="1"/>
  <c r="G61" i="5"/>
  <c r="H61" i="5" s="1"/>
  <c r="L60" i="5"/>
  <c r="M60" i="5" s="1"/>
  <c r="N60" i="5" s="1"/>
  <c r="O60" i="5" s="1"/>
  <c r="G60" i="5"/>
  <c r="H60" i="5" s="1"/>
  <c r="I60" i="5" s="1"/>
  <c r="L59" i="5"/>
  <c r="M59" i="5" s="1"/>
  <c r="G59" i="5"/>
  <c r="H59" i="5" s="1"/>
  <c r="L58" i="5"/>
  <c r="M58" i="5" s="1"/>
  <c r="N58" i="5" s="1"/>
  <c r="G58" i="5"/>
  <c r="H58" i="5" s="1"/>
  <c r="L57" i="5"/>
  <c r="M57" i="5" s="1"/>
  <c r="G57" i="5"/>
  <c r="H57" i="5" s="1"/>
  <c r="L56" i="5"/>
  <c r="M56" i="5" s="1"/>
  <c r="G56" i="5"/>
  <c r="H56" i="5" s="1"/>
  <c r="L55" i="5"/>
  <c r="M55" i="5" s="1"/>
  <c r="G55" i="5"/>
  <c r="H55" i="5" s="1"/>
  <c r="L54" i="5"/>
  <c r="M54" i="5" s="1"/>
  <c r="G54" i="5"/>
  <c r="H54" i="5" s="1"/>
  <c r="L53" i="5"/>
  <c r="M53" i="5" s="1"/>
  <c r="G53" i="5"/>
  <c r="H53" i="5" s="1"/>
  <c r="L52" i="5"/>
  <c r="M52" i="5" s="1"/>
  <c r="N52" i="5" s="1"/>
  <c r="O52" i="5" s="1"/>
  <c r="G52" i="5"/>
  <c r="H52" i="5" s="1"/>
  <c r="L51" i="5"/>
  <c r="M51" i="5" s="1"/>
  <c r="G51" i="5"/>
  <c r="H51" i="5" s="1"/>
  <c r="L50" i="5"/>
  <c r="M50" i="5" s="1"/>
  <c r="G50" i="5"/>
  <c r="H50" i="5" s="1"/>
  <c r="L49" i="5"/>
  <c r="M49" i="5" s="1"/>
  <c r="G49" i="5"/>
  <c r="H49" i="5" s="1"/>
  <c r="I49" i="5" s="1"/>
  <c r="L48" i="5"/>
  <c r="M48" i="5" s="1"/>
  <c r="G48" i="5"/>
  <c r="H48" i="5" s="1"/>
  <c r="L47" i="5"/>
  <c r="M47" i="5" s="1"/>
  <c r="G47" i="5"/>
  <c r="H47" i="5" s="1"/>
  <c r="I47" i="5" s="1"/>
  <c r="L46" i="5"/>
  <c r="M46" i="5" s="1"/>
  <c r="G46" i="5"/>
  <c r="H46" i="5" s="1"/>
  <c r="L45" i="5"/>
  <c r="M45" i="5" s="1"/>
  <c r="G45" i="5"/>
  <c r="H45" i="5" s="1"/>
  <c r="I45" i="5" s="1"/>
  <c r="L44" i="5"/>
  <c r="M44" i="5" s="1"/>
  <c r="G44" i="5"/>
  <c r="H44" i="5" s="1"/>
  <c r="L43" i="5"/>
  <c r="M43" i="5" s="1"/>
  <c r="G43" i="5"/>
  <c r="H43" i="5" s="1"/>
  <c r="L42" i="5"/>
  <c r="M42" i="5" s="1"/>
  <c r="G42" i="5"/>
  <c r="H42" i="5" s="1"/>
  <c r="L41" i="5"/>
  <c r="M41" i="5" s="1"/>
  <c r="G41" i="5"/>
  <c r="H41" i="5" s="1"/>
  <c r="L40" i="5"/>
  <c r="M40" i="5" s="1"/>
  <c r="G40" i="5"/>
  <c r="H40" i="5" s="1"/>
  <c r="L39" i="5"/>
  <c r="M39" i="5" s="1"/>
  <c r="G39" i="5"/>
  <c r="H39" i="5" s="1"/>
  <c r="I39" i="5" s="1"/>
  <c r="L38" i="5"/>
  <c r="M38" i="5" s="1"/>
  <c r="G38" i="5"/>
  <c r="H38" i="5" s="1"/>
  <c r="L37" i="5"/>
  <c r="M37" i="5" s="1"/>
  <c r="G37" i="5"/>
  <c r="H37" i="5" s="1"/>
  <c r="L36" i="5"/>
  <c r="M36" i="5" s="1"/>
  <c r="N36" i="5" s="1"/>
  <c r="G36" i="5"/>
  <c r="H36" i="5" s="1"/>
  <c r="L35" i="5"/>
  <c r="M35" i="5" s="1"/>
  <c r="G35" i="5"/>
  <c r="H35" i="5" s="1"/>
  <c r="L34" i="5"/>
  <c r="M34" i="5" s="1"/>
  <c r="G34" i="5"/>
  <c r="H34" i="5" s="1"/>
  <c r="L33" i="5"/>
  <c r="M33" i="5" s="1"/>
  <c r="G33" i="5"/>
  <c r="H33" i="5" s="1"/>
  <c r="L32" i="5"/>
  <c r="M32" i="5" s="1"/>
  <c r="G32" i="5"/>
  <c r="H32" i="5" s="1"/>
  <c r="L31" i="5"/>
  <c r="M31" i="5" s="1"/>
  <c r="G31" i="5"/>
  <c r="H31" i="5" s="1"/>
  <c r="I31" i="5" s="1"/>
  <c r="L30" i="5"/>
  <c r="M30" i="5" s="1"/>
  <c r="N30" i="5" s="1"/>
  <c r="O30" i="5" s="1"/>
  <c r="G30" i="5"/>
  <c r="H30" i="5" s="1"/>
  <c r="L29" i="5"/>
  <c r="M29" i="5" s="1"/>
  <c r="G29" i="5"/>
  <c r="H29" i="5" s="1"/>
  <c r="L28" i="5"/>
  <c r="M28" i="5" s="1"/>
  <c r="G28" i="5"/>
  <c r="H28" i="5" s="1"/>
  <c r="L27" i="5"/>
  <c r="M27" i="5" s="1"/>
  <c r="G27" i="5"/>
  <c r="H27" i="5" s="1"/>
  <c r="L26" i="5"/>
  <c r="M26" i="5" s="1"/>
  <c r="G26" i="5"/>
  <c r="H26" i="5" s="1"/>
  <c r="I26" i="5" s="1"/>
  <c r="L25" i="5"/>
  <c r="M25" i="5" s="1"/>
  <c r="G25" i="5"/>
  <c r="H25" i="5" s="1"/>
  <c r="L24" i="5"/>
  <c r="M24" i="5" s="1"/>
  <c r="G24" i="5"/>
  <c r="H24" i="5" s="1"/>
  <c r="L23" i="5"/>
  <c r="M23" i="5" s="1"/>
  <c r="G23" i="5"/>
  <c r="H23" i="5" s="1"/>
  <c r="I23" i="5" s="1"/>
  <c r="L22" i="5"/>
  <c r="M22" i="5" s="1"/>
  <c r="G22" i="5"/>
  <c r="H22" i="5" s="1"/>
  <c r="L21" i="5"/>
  <c r="M21" i="5" s="1"/>
  <c r="G21" i="5"/>
  <c r="H21" i="5" s="1"/>
  <c r="L20" i="5"/>
  <c r="M20" i="5" s="1"/>
  <c r="G20" i="5"/>
  <c r="H20" i="5" s="1"/>
  <c r="L19" i="5"/>
  <c r="M19" i="5" s="1"/>
  <c r="G19" i="5"/>
  <c r="H19" i="5" s="1"/>
  <c r="L18" i="5"/>
  <c r="M18" i="5" s="1"/>
  <c r="G18" i="5"/>
  <c r="H18" i="5" s="1"/>
  <c r="I18" i="5" s="1"/>
  <c r="J18" i="5" s="1"/>
  <c r="L17" i="5"/>
  <c r="M17" i="5" s="1"/>
  <c r="G17" i="5"/>
  <c r="H17" i="5" s="1"/>
  <c r="L16" i="5"/>
  <c r="M16" i="5" s="1"/>
  <c r="G16" i="5"/>
  <c r="H16" i="5" s="1"/>
  <c r="I16" i="5" s="1"/>
  <c r="L15" i="5"/>
  <c r="M15" i="5" s="1"/>
  <c r="G15" i="5"/>
  <c r="H15" i="5" s="1"/>
  <c r="I15" i="5" s="1"/>
  <c r="L14" i="5"/>
  <c r="M14" i="5" s="1"/>
  <c r="N14" i="5" s="1"/>
  <c r="G14" i="5"/>
  <c r="H14" i="5" s="1"/>
  <c r="L13" i="5"/>
  <c r="M13" i="5" s="1"/>
  <c r="G13" i="5"/>
  <c r="H13" i="5" s="1"/>
  <c r="L12" i="5"/>
  <c r="M12" i="5" s="1"/>
  <c r="G12" i="5"/>
  <c r="H12" i="5" s="1"/>
  <c r="J384" i="7" l="1"/>
  <c r="J319" i="7"/>
  <c r="I360" i="7"/>
  <c r="J360" i="7" s="1"/>
  <c r="J350" i="7"/>
  <c r="I281" i="7"/>
  <c r="J281" i="7" s="1"/>
  <c r="I267" i="7"/>
  <c r="J267" i="7" s="1"/>
  <c r="N352" i="7"/>
  <c r="O352" i="7" s="1"/>
  <c r="J286" i="7"/>
  <c r="O342" i="7"/>
  <c r="N288" i="7"/>
  <c r="O288" i="7" s="1"/>
  <c r="I300" i="7"/>
  <c r="J300" i="7" s="1"/>
  <c r="J303" i="7"/>
  <c r="J333" i="7"/>
  <c r="N261" i="7"/>
  <c r="O261" i="7" s="1"/>
  <c r="I220" i="7"/>
  <c r="J220" i="7" s="1"/>
  <c r="J203" i="7"/>
  <c r="I191" i="7"/>
  <c r="J191" i="7" s="1"/>
  <c r="J67" i="7"/>
  <c r="J17" i="7"/>
  <c r="N152" i="5"/>
  <c r="O152" i="5" s="1"/>
  <c r="I114" i="5"/>
  <c r="J114" i="5"/>
  <c r="J47" i="5"/>
  <c r="J23" i="5"/>
  <c r="I103" i="7"/>
  <c r="J103" i="7" s="1"/>
  <c r="N145" i="7"/>
  <c r="O145" i="7" s="1"/>
  <c r="N28" i="7"/>
  <c r="O28" i="7" s="1"/>
  <c r="N52" i="7"/>
  <c r="O52" i="7" s="1"/>
  <c r="I89" i="7"/>
  <c r="J89" i="7" s="1"/>
  <c r="J160" i="7"/>
  <c r="I192" i="7"/>
  <c r="J192" i="7" s="1"/>
  <c r="N231" i="7"/>
  <c r="O231" i="7" s="1"/>
  <c r="I16" i="7"/>
  <c r="J16" i="7" s="1"/>
  <c r="N160" i="7"/>
  <c r="O160" i="7" s="1"/>
  <c r="I243" i="7"/>
  <c r="J243" i="7" s="1"/>
  <c r="I316" i="7"/>
  <c r="J316" i="7" s="1"/>
  <c r="I342" i="7"/>
  <c r="J342" i="7" s="1"/>
  <c r="I353" i="7"/>
  <c r="J353" i="7" s="1"/>
  <c r="N113" i="7"/>
  <c r="O113" i="7" s="1"/>
  <c r="I141" i="7"/>
  <c r="J141" i="7" s="1"/>
  <c r="N174" i="7"/>
  <c r="O174" i="7" s="1"/>
  <c r="N38" i="7"/>
  <c r="O38" i="7" s="1"/>
  <c r="I62" i="7"/>
  <c r="J62" i="7" s="1"/>
  <c r="I114" i="7"/>
  <c r="J114" i="7" s="1"/>
  <c r="I121" i="7"/>
  <c r="J121" i="7" s="1"/>
  <c r="I154" i="7"/>
  <c r="J154" i="7" s="1"/>
  <c r="N225" i="7"/>
  <c r="O225" i="7" s="1"/>
  <c r="N262" i="7"/>
  <c r="O262" i="7" s="1"/>
  <c r="I31" i="7"/>
  <c r="J31" i="7"/>
  <c r="N84" i="7"/>
  <c r="O84" i="7" s="1"/>
  <c r="N114" i="7"/>
  <c r="O114" i="7" s="1"/>
  <c r="I148" i="7"/>
  <c r="J148" i="7" s="1"/>
  <c r="I24" i="7"/>
  <c r="J24" i="7" s="1"/>
  <c r="I77" i="7"/>
  <c r="J77" i="7"/>
  <c r="N142" i="7"/>
  <c r="O142" i="7" s="1"/>
  <c r="N169" i="7"/>
  <c r="O169" i="7" s="1"/>
  <c r="I194" i="7"/>
  <c r="J194" i="7" s="1"/>
  <c r="N391" i="7"/>
  <c r="O391" i="7" s="1"/>
  <c r="I108" i="7"/>
  <c r="J108" i="7" s="1"/>
  <c r="I170" i="7"/>
  <c r="J170" i="7" s="1"/>
  <c r="N194" i="7"/>
  <c r="O194" i="7" s="1"/>
  <c r="I217" i="7"/>
  <c r="J217" i="7" s="1"/>
  <c r="N123" i="7"/>
  <c r="O123" i="7"/>
  <c r="I190" i="7"/>
  <c r="J190" i="7"/>
  <c r="I386" i="7"/>
  <c r="J386" i="7"/>
  <c r="I400" i="7"/>
  <c r="J400" i="7"/>
  <c r="I27" i="7"/>
  <c r="J27" i="7" s="1"/>
  <c r="N50" i="7"/>
  <c r="O50" i="7" s="1"/>
  <c r="N65" i="7"/>
  <c r="O65" i="7" s="1"/>
  <c r="N178" i="7"/>
  <c r="O178" i="7" s="1"/>
  <c r="I223" i="7"/>
  <c r="J223" i="7" s="1"/>
  <c r="I260" i="7"/>
  <c r="J260" i="7" s="1"/>
  <c r="I289" i="7"/>
  <c r="J289" i="7" s="1"/>
  <c r="I339" i="7"/>
  <c r="J339" i="7" s="1"/>
  <c r="N387" i="7"/>
  <c r="O387" i="7" s="1"/>
  <c r="I44" i="7"/>
  <c r="J44" i="7" s="1"/>
  <c r="N111" i="7"/>
  <c r="O111" i="7" s="1"/>
  <c r="I139" i="7"/>
  <c r="J139" i="7" s="1"/>
  <c r="N196" i="7"/>
  <c r="O196" i="7" s="1"/>
  <c r="N44" i="7"/>
  <c r="O44" i="7" s="1"/>
  <c r="N267" i="7"/>
  <c r="O267" i="7" s="1"/>
  <c r="I29" i="7"/>
  <c r="J29" i="7" s="1"/>
  <c r="N67" i="7"/>
  <c r="O67" i="7" s="1"/>
  <c r="N236" i="7"/>
  <c r="O236" i="7" s="1"/>
  <c r="I359" i="7"/>
  <c r="J359" i="7" s="1"/>
  <c r="I68" i="7"/>
  <c r="J68" i="7" s="1"/>
  <c r="I120" i="7"/>
  <c r="J120" i="7" s="1"/>
  <c r="I181" i="7"/>
  <c r="J181" i="7"/>
  <c r="N181" i="7"/>
  <c r="O181" i="7" s="1"/>
  <c r="I310" i="7"/>
  <c r="J310" i="7" s="1"/>
  <c r="N328" i="7"/>
  <c r="O328" i="7" s="1"/>
  <c r="N147" i="7"/>
  <c r="O147" i="7" s="1"/>
  <c r="I76" i="7"/>
  <c r="J76" i="7" s="1"/>
  <c r="N106" i="7"/>
  <c r="O106" i="7" s="1"/>
  <c r="N304" i="7"/>
  <c r="O304" i="7" s="1"/>
  <c r="N162" i="7"/>
  <c r="O162" i="7" s="1"/>
  <c r="N270" i="7"/>
  <c r="O270" i="7" s="1"/>
  <c r="I136" i="7"/>
  <c r="J136" i="7" s="1"/>
  <c r="I12" i="7"/>
  <c r="J12" i="7" s="1"/>
  <c r="N70" i="7"/>
  <c r="O70" i="7" s="1"/>
  <c r="I123" i="7"/>
  <c r="J123" i="7"/>
  <c r="N163" i="7"/>
  <c r="O163" i="7" s="1"/>
  <c r="N189" i="7"/>
  <c r="O189" i="7" s="1"/>
  <c r="N206" i="7"/>
  <c r="O206" i="7" s="1"/>
  <c r="I282" i="7"/>
  <c r="J282" i="7" s="1"/>
  <c r="I41" i="7"/>
  <c r="J41" i="7"/>
  <c r="N92" i="7"/>
  <c r="O92" i="7" s="1"/>
  <c r="I130" i="7"/>
  <c r="J130" i="7" s="1"/>
  <c r="N156" i="7"/>
  <c r="O156" i="7" s="1"/>
  <c r="I331" i="7"/>
  <c r="J331" i="7" s="1"/>
  <c r="I26" i="7"/>
  <c r="J26" i="7" s="1"/>
  <c r="I93" i="7"/>
  <c r="J93" i="7" s="1"/>
  <c r="J13" i="7"/>
  <c r="N20" i="7"/>
  <c r="O20" i="7" s="1"/>
  <c r="N34" i="7"/>
  <c r="O34" i="7" s="1"/>
  <c r="I43" i="7"/>
  <c r="J43" i="7" s="1"/>
  <c r="I118" i="7"/>
  <c r="J118" i="7" s="1"/>
  <c r="I132" i="7"/>
  <c r="J132" i="7" s="1"/>
  <c r="N151" i="7"/>
  <c r="O151" i="7" s="1"/>
  <c r="I172" i="7"/>
  <c r="J172" i="7" s="1"/>
  <c r="I208" i="7"/>
  <c r="J208" i="7" s="1"/>
  <c r="N218" i="7"/>
  <c r="O218" i="7" s="1"/>
  <c r="N223" i="7"/>
  <c r="O223" i="7" s="1"/>
  <c r="N228" i="7"/>
  <c r="O228" i="7" s="1"/>
  <c r="N247" i="7"/>
  <c r="O247" i="7" s="1"/>
  <c r="I301" i="7"/>
  <c r="J301" i="7" s="1"/>
  <c r="O362" i="7"/>
  <c r="N59" i="7"/>
  <c r="O59" i="7" s="1"/>
  <c r="N95" i="7"/>
  <c r="O95" i="7" s="1"/>
  <c r="I302" i="7"/>
  <c r="J302" i="7" s="1"/>
  <c r="I60" i="7"/>
  <c r="J60" i="7" s="1"/>
  <c r="I119" i="7"/>
  <c r="J119" i="7" s="1"/>
  <c r="N191" i="7"/>
  <c r="O191" i="7" s="1"/>
  <c r="N203" i="7"/>
  <c r="O203" i="7" s="1"/>
  <c r="I74" i="7"/>
  <c r="J74" i="7" s="1"/>
  <c r="I167" i="7"/>
  <c r="J167" i="7" s="1"/>
  <c r="N334" i="7"/>
  <c r="O334" i="7" s="1"/>
  <c r="N402" i="7"/>
  <c r="O402" i="7" s="1"/>
  <c r="N53" i="7"/>
  <c r="O53" i="7" s="1"/>
  <c r="I97" i="7"/>
  <c r="J97" i="7"/>
  <c r="I38" i="7"/>
  <c r="J38" i="7" s="1"/>
  <c r="I54" i="7"/>
  <c r="J54" i="7" s="1"/>
  <c r="N134" i="7"/>
  <c r="O134" i="7" s="1"/>
  <c r="I225" i="7"/>
  <c r="J225" i="7" s="1"/>
  <c r="I84" i="7"/>
  <c r="J84" i="7" s="1"/>
  <c r="I106" i="7"/>
  <c r="J106" i="7" s="1"/>
  <c r="N220" i="7"/>
  <c r="O220" i="7" s="1"/>
  <c r="I298" i="7"/>
  <c r="J298" i="7" s="1"/>
  <c r="I317" i="7"/>
  <c r="J317" i="7" s="1"/>
  <c r="N47" i="7"/>
  <c r="O47" i="7" s="1"/>
  <c r="N90" i="7"/>
  <c r="O90" i="7" s="1"/>
  <c r="N250" i="7"/>
  <c r="O250" i="7" s="1"/>
  <c r="I263" i="7"/>
  <c r="J263" i="7" s="1"/>
  <c r="N17" i="7"/>
  <c r="O17" i="7" s="1"/>
  <c r="I48" i="7"/>
  <c r="J48" i="7" s="1"/>
  <c r="N76" i="7"/>
  <c r="O76" i="7" s="1"/>
  <c r="I176" i="7"/>
  <c r="J176" i="7" s="1"/>
  <c r="I18" i="7"/>
  <c r="J18" i="7" s="1"/>
  <c r="N122" i="7"/>
  <c r="O122" i="7" s="1"/>
  <c r="I129" i="7"/>
  <c r="J129" i="7" s="1"/>
  <c r="I163" i="7"/>
  <c r="J163" i="7" s="1"/>
  <c r="N176" i="7"/>
  <c r="O176" i="7"/>
  <c r="N251" i="7"/>
  <c r="O251" i="7" s="1"/>
  <c r="N18" i="7"/>
  <c r="O18" i="7" s="1"/>
  <c r="N40" i="7"/>
  <c r="O40" i="7" s="1"/>
  <c r="N129" i="7"/>
  <c r="O129" i="7" s="1"/>
  <c r="I156" i="7"/>
  <c r="J156" i="7" s="1"/>
  <c r="I56" i="7"/>
  <c r="J56" i="7"/>
  <c r="I116" i="7"/>
  <c r="J116" i="7" s="1"/>
  <c r="I150" i="7"/>
  <c r="J150" i="7" s="1"/>
  <c r="I234" i="7"/>
  <c r="J234" i="7"/>
  <c r="N282" i="7"/>
  <c r="O282" i="7" s="1"/>
  <c r="N56" i="7"/>
  <c r="O56" i="7" s="1"/>
  <c r="N86" i="7"/>
  <c r="O86" i="7" s="1"/>
  <c r="N99" i="7"/>
  <c r="O99" i="7" s="1"/>
  <c r="N116" i="7"/>
  <c r="O116" i="7" s="1"/>
  <c r="J201" i="7"/>
  <c r="N350" i="7"/>
  <c r="O350" i="7" s="1"/>
  <c r="I413" i="7"/>
  <c r="J413" i="7" s="1"/>
  <c r="N26" i="7"/>
  <c r="O26" i="7" s="1"/>
  <c r="N33" i="7"/>
  <c r="O33" i="7" s="1"/>
  <c r="I42" i="7"/>
  <c r="J42" i="7" s="1"/>
  <c r="I50" i="7"/>
  <c r="J50" i="7" s="1"/>
  <c r="I79" i="7"/>
  <c r="J79" i="7" s="1"/>
  <c r="N201" i="7"/>
  <c r="O201" i="7" s="1"/>
  <c r="N266" i="7"/>
  <c r="O266" i="7" s="1"/>
  <c r="I295" i="7"/>
  <c r="J295" i="7" s="1"/>
  <c r="I320" i="7"/>
  <c r="J320" i="7" s="1"/>
  <c r="N356" i="7"/>
  <c r="O356" i="7" s="1"/>
  <c r="I35" i="7"/>
  <c r="J35" i="7" s="1"/>
  <c r="N80" i="7"/>
  <c r="O80" i="7" s="1"/>
  <c r="I95" i="7"/>
  <c r="J95" i="7" s="1"/>
  <c r="N102" i="7"/>
  <c r="O102" i="7" s="1"/>
  <c r="N125" i="7"/>
  <c r="O125" i="7" s="1"/>
  <c r="I145" i="7"/>
  <c r="J145" i="7" s="1"/>
  <c r="N172" i="7"/>
  <c r="O172" i="7" s="1"/>
  <c r="I248" i="7"/>
  <c r="J248" i="7" s="1"/>
  <c r="I255" i="7"/>
  <c r="J255" i="7" s="1"/>
  <c r="I279" i="7"/>
  <c r="J279" i="7" s="1"/>
  <c r="I382" i="7"/>
  <c r="J382" i="7" s="1"/>
  <c r="I409" i="7"/>
  <c r="J409" i="7" s="1"/>
  <c r="N77" i="7"/>
  <c r="O77" i="7" s="1"/>
  <c r="I107" i="7"/>
  <c r="J107" i="7" s="1"/>
  <c r="I135" i="7"/>
  <c r="J135" i="7" s="1"/>
  <c r="J236" i="7"/>
  <c r="I294" i="7"/>
  <c r="J294" i="7" s="1"/>
  <c r="N15" i="7"/>
  <c r="O15" i="7" s="1"/>
  <c r="N32" i="7"/>
  <c r="O32" i="7" s="1"/>
  <c r="J52" i="7"/>
  <c r="N63" i="7"/>
  <c r="O63" i="7" s="1"/>
  <c r="I78" i="7"/>
  <c r="J78" i="7" s="1"/>
  <c r="I98" i="7"/>
  <c r="J98" i="7" s="1"/>
  <c r="N107" i="7"/>
  <c r="O107" i="7" s="1"/>
  <c r="I157" i="7"/>
  <c r="J157" i="7" s="1"/>
  <c r="I169" i="7"/>
  <c r="J169" i="7" s="1"/>
  <c r="I184" i="7"/>
  <c r="J184" i="7" s="1"/>
  <c r="I198" i="7"/>
  <c r="J198" i="7" s="1"/>
  <c r="I221" i="7"/>
  <c r="J221" i="7" s="1"/>
  <c r="I236" i="7"/>
  <c r="N12" i="7"/>
  <c r="O12" i="7" s="1"/>
  <c r="N19" i="7"/>
  <c r="O19" i="7" s="1"/>
  <c r="I33" i="7"/>
  <c r="J33" i="7" s="1"/>
  <c r="N36" i="7"/>
  <c r="O36" i="7" s="1"/>
  <c r="N78" i="7"/>
  <c r="O78" i="7" s="1"/>
  <c r="N83" i="7"/>
  <c r="O83" i="7" s="1"/>
  <c r="N127" i="7"/>
  <c r="O127" i="7" s="1"/>
  <c r="N131" i="7"/>
  <c r="O131" i="7" s="1"/>
  <c r="N157" i="7"/>
  <c r="O157" i="7" s="1"/>
  <c r="I162" i="7"/>
  <c r="J162" i="7" s="1"/>
  <c r="N221" i="7"/>
  <c r="O221" i="7" s="1"/>
  <c r="N257" i="7"/>
  <c r="O257" i="7" s="1"/>
  <c r="I262" i="7"/>
  <c r="J262" i="7" s="1"/>
  <c r="N284" i="7"/>
  <c r="O284" i="7" s="1"/>
  <c r="N316" i="7"/>
  <c r="O316" i="7" s="1"/>
  <c r="I358" i="7"/>
  <c r="J358" i="7" s="1"/>
  <c r="I376" i="7"/>
  <c r="J376" i="7" s="1"/>
  <c r="J394" i="7"/>
  <c r="I405" i="7"/>
  <c r="J405" i="7" s="1"/>
  <c r="J113" i="7"/>
  <c r="I272" i="7"/>
  <c r="J272" i="7" s="1"/>
  <c r="J307" i="7"/>
  <c r="O326" i="7"/>
  <c r="J335" i="7"/>
  <c r="N16" i="7"/>
  <c r="O16" i="7"/>
  <c r="I23" i="7"/>
  <c r="J23" i="7" s="1"/>
  <c r="J64" i="7"/>
  <c r="N74" i="7"/>
  <c r="O74" i="7" s="1"/>
  <c r="N124" i="7"/>
  <c r="O124" i="7" s="1"/>
  <c r="N128" i="7"/>
  <c r="O128" i="7" s="1"/>
  <c r="I147" i="7"/>
  <c r="J147" i="7" s="1"/>
  <c r="N165" i="7"/>
  <c r="O165" i="7" s="1"/>
  <c r="I173" i="7"/>
  <c r="J173" i="7" s="1"/>
  <c r="O214" i="7"/>
  <c r="O294" i="7"/>
  <c r="N353" i="7"/>
  <c r="O353" i="7" s="1"/>
  <c r="I13" i="7"/>
  <c r="I30" i="7"/>
  <c r="J30" i="7" s="1"/>
  <c r="I34" i="7"/>
  <c r="J34" i="7" s="1"/>
  <c r="I53" i="7"/>
  <c r="J53" i="7" s="1"/>
  <c r="I61" i="7"/>
  <c r="J61" i="7" s="1"/>
  <c r="N64" i="7"/>
  <c r="O64" i="7" s="1"/>
  <c r="N87" i="7"/>
  <c r="O87" i="7" s="1"/>
  <c r="N103" i="7"/>
  <c r="O103" i="7"/>
  <c r="N143" i="7"/>
  <c r="O143" i="7" s="1"/>
  <c r="N177" i="7"/>
  <c r="O177" i="7" s="1"/>
  <c r="O233" i="7"/>
  <c r="I250" i="7"/>
  <c r="J250" i="7" s="1"/>
  <c r="I285" i="7"/>
  <c r="J285" i="7" s="1"/>
  <c r="J20" i="7"/>
  <c r="N23" i="7"/>
  <c r="O23" i="7" s="1"/>
  <c r="O41" i="7"/>
  <c r="N49" i="7"/>
  <c r="O49" i="7" s="1"/>
  <c r="N71" i="7"/>
  <c r="O71" i="7" s="1"/>
  <c r="I99" i="7"/>
  <c r="J99" i="7" s="1"/>
  <c r="I117" i="7"/>
  <c r="J117" i="7" s="1"/>
  <c r="I140" i="7"/>
  <c r="J140" i="7"/>
  <c r="N154" i="7"/>
  <c r="O154" i="7" s="1"/>
  <c r="I166" i="7"/>
  <c r="J166" i="7" s="1"/>
  <c r="N192" i="7"/>
  <c r="O192" i="7" s="1"/>
  <c r="N199" i="7"/>
  <c r="O199" i="7"/>
  <c r="N211" i="7"/>
  <c r="O211" i="7" s="1"/>
  <c r="I219" i="7"/>
  <c r="J219" i="7" s="1"/>
  <c r="N281" i="7"/>
  <c r="O281" i="7" s="1"/>
  <c r="J290" i="7"/>
  <c r="N13" i="7"/>
  <c r="O13" i="7" s="1"/>
  <c r="O30" i="7"/>
  <c r="I65" i="7"/>
  <c r="J65" i="7" s="1"/>
  <c r="N166" i="7"/>
  <c r="O166" i="7" s="1"/>
  <c r="I178" i="7"/>
  <c r="J178" i="7" s="1"/>
  <c r="I200" i="7"/>
  <c r="J200" i="7" s="1"/>
  <c r="N207" i="7"/>
  <c r="O207" i="7" s="1"/>
  <c r="N219" i="7"/>
  <c r="O219" i="7" s="1"/>
  <c r="N222" i="7"/>
  <c r="O222" i="7" s="1"/>
  <c r="J304" i="7"/>
  <c r="I332" i="7"/>
  <c r="J332" i="7"/>
  <c r="I354" i="7"/>
  <c r="J354" i="7" s="1"/>
  <c r="I408" i="7"/>
  <c r="J408" i="7" s="1"/>
  <c r="I72" i="7"/>
  <c r="J72" i="7" s="1"/>
  <c r="J196" i="7"/>
  <c r="O242" i="7"/>
  <c r="I265" i="7"/>
  <c r="J265" i="7" s="1"/>
  <c r="N309" i="7"/>
  <c r="O309" i="7" s="1"/>
  <c r="N368" i="7"/>
  <c r="O368" i="7" s="1"/>
  <c r="J14" i="7"/>
  <c r="I101" i="7"/>
  <c r="J101" i="7" s="1"/>
  <c r="N24" i="7"/>
  <c r="O24" i="7"/>
  <c r="N72" i="7"/>
  <c r="O72" i="7" s="1"/>
  <c r="N96" i="7"/>
  <c r="O96" i="7" s="1"/>
  <c r="N182" i="7"/>
  <c r="O182" i="7" s="1"/>
  <c r="O193" i="7"/>
  <c r="O216" i="7"/>
  <c r="I25" i="7"/>
  <c r="J25" i="7" s="1"/>
  <c r="N31" i="7"/>
  <c r="O31" i="7" s="1"/>
  <c r="N54" i="7"/>
  <c r="O54" i="7" s="1"/>
  <c r="I59" i="7"/>
  <c r="J59" i="7" s="1"/>
  <c r="N62" i="7"/>
  <c r="O62" i="7" s="1"/>
  <c r="I73" i="7"/>
  <c r="J73" i="7" s="1"/>
  <c r="J111" i="7"/>
  <c r="N141" i="7"/>
  <c r="O141" i="7" s="1"/>
  <c r="N148" i="7"/>
  <c r="O148" i="7" s="1"/>
  <c r="N152" i="7"/>
  <c r="O152" i="7" s="1"/>
  <c r="N171" i="7"/>
  <c r="O171" i="7" s="1"/>
  <c r="I175" i="7"/>
  <c r="J175" i="7" s="1"/>
  <c r="I201" i="7"/>
  <c r="N204" i="7"/>
  <c r="O204" i="7" s="1"/>
  <c r="N260" i="7"/>
  <c r="O260" i="7" s="1"/>
  <c r="I266" i="7"/>
  <c r="J266" i="7" s="1"/>
  <c r="J270" i="7"/>
  <c r="N292" i="7"/>
  <c r="O292" i="7" s="1"/>
  <c r="N319" i="7"/>
  <c r="O319" i="7" s="1"/>
  <c r="I338" i="7"/>
  <c r="J338" i="7" s="1"/>
  <c r="I348" i="7"/>
  <c r="J348" i="7" s="1"/>
  <c r="I356" i="7"/>
  <c r="J356" i="7" s="1"/>
  <c r="N360" i="7"/>
  <c r="O360" i="7" s="1"/>
  <c r="I365" i="7"/>
  <c r="J365" i="7" s="1"/>
  <c r="I374" i="7"/>
  <c r="J374" i="7" s="1"/>
  <c r="J397" i="7"/>
  <c r="I403" i="7"/>
  <c r="J403" i="7" s="1"/>
  <c r="I15" i="7"/>
  <c r="J15" i="7" s="1"/>
  <c r="N25" i="7"/>
  <c r="O25" i="7" s="1"/>
  <c r="N43" i="7"/>
  <c r="O43" i="7" s="1"/>
  <c r="I55" i="7"/>
  <c r="J55" i="7" s="1"/>
  <c r="I66" i="7"/>
  <c r="J66" i="7" s="1"/>
  <c r="I81" i="7"/>
  <c r="J81" i="7" s="1"/>
  <c r="N89" i="7"/>
  <c r="O89" i="7" s="1"/>
  <c r="J102" i="7"/>
  <c r="I134" i="7"/>
  <c r="J134" i="7" s="1"/>
  <c r="I138" i="7"/>
  <c r="J138" i="7" s="1"/>
  <c r="I149" i="7"/>
  <c r="J149" i="7" s="1"/>
  <c r="I153" i="7"/>
  <c r="J153" i="7" s="1"/>
  <c r="N175" i="7"/>
  <c r="O175" i="7" s="1"/>
  <c r="I179" i="7"/>
  <c r="J179" i="7" s="1"/>
  <c r="I183" i="7"/>
  <c r="J183" i="7" s="1"/>
  <c r="N213" i="7"/>
  <c r="O213" i="7" s="1"/>
  <c r="O238" i="7"/>
  <c r="N243" i="7"/>
  <c r="O243" i="7" s="1"/>
  <c r="N274" i="7"/>
  <c r="O274" i="7" s="1"/>
  <c r="I329" i="7"/>
  <c r="J329" i="7" s="1"/>
  <c r="J334" i="7"/>
  <c r="I343" i="7"/>
  <c r="J343" i="7" s="1"/>
  <c r="I361" i="7"/>
  <c r="J361" i="7" s="1"/>
  <c r="N378" i="7"/>
  <c r="O378" i="7" s="1"/>
  <c r="N397" i="7"/>
  <c r="O397" i="7" s="1"/>
  <c r="N93" i="7"/>
  <c r="O93" i="7" s="1"/>
  <c r="O138" i="7"/>
  <c r="I161" i="7"/>
  <c r="J161" i="7" s="1"/>
  <c r="N210" i="7"/>
  <c r="O210" i="7" s="1"/>
  <c r="I271" i="7"/>
  <c r="J271" i="7" s="1"/>
  <c r="N297" i="7"/>
  <c r="O297" i="7" s="1"/>
  <c r="I312" i="7"/>
  <c r="J312" i="7"/>
  <c r="N325" i="7"/>
  <c r="O325" i="7" s="1"/>
  <c r="I357" i="7"/>
  <c r="J357" i="7" s="1"/>
  <c r="I362" i="7"/>
  <c r="J362" i="7" s="1"/>
  <c r="N370" i="7"/>
  <c r="O370" i="7" s="1"/>
  <c r="N399" i="7"/>
  <c r="O399" i="7" s="1"/>
  <c r="N161" i="7"/>
  <c r="O161" i="7" s="1"/>
  <c r="J254" i="7"/>
  <c r="N275" i="7"/>
  <c r="O275" i="7" s="1"/>
  <c r="O312" i="7"/>
  <c r="I326" i="7"/>
  <c r="J326" i="7" s="1"/>
  <c r="N357" i="7"/>
  <c r="O357" i="7" s="1"/>
  <c r="J366" i="7"/>
  <c r="O404" i="7"/>
  <c r="N22" i="7"/>
  <c r="O22" i="7" s="1"/>
  <c r="I71" i="7"/>
  <c r="J71" i="7" s="1"/>
  <c r="I124" i="7"/>
  <c r="J124" i="7" s="1"/>
  <c r="I143" i="7"/>
  <c r="J143" i="7" s="1"/>
  <c r="I158" i="7"/>
  <c r="J158" i="7" s="1"/>
  <c r="N184" i="7"/>
  <c r="O184" i="7" s="1"/>
  <c r="N198" i="7"/>
  <c r="O198" i="7" s="1"/>
  <c r="I211" i="7"/>
  <c r="J211" i="7" s="1"/>
  <c r="N240" i="7"/>
  <c r="O240" i="7" s="1"/>
  <c r="I245" i="7"/>
  <c r="J245" i="7" s="1"/>
  <c r="I321" i="7"/>
  <c r="J321" i="7" s="1"/>
  <c r="N362" i="7"/>
  <c r="N366" i="7"/>
  <c r="O366" i="7" s="1"/>
  <c r="N376" i="7"/>
  <c r="O376" i="7" s="1"/>
  <c r="N394" i="7"/>
  <c r="O394" i="7" s="1"/>
  <c r="N29" i="7"/>
  <c r="O29" i="7" s="1"/>
  <c r="N60" i="7"/>
  <c r="O60" i="7" s="1"/>
  <c r="I87" i="7"/>
  <c r="J87" i="7" s="1"/>
  <c r="O120" i="7"/>
  <c r="N245" i="7"/>
  <c r="O245" i="7" s="1"/>
  <c r="N307" i="7"/>
  <c r="O307" i="7" s="1"/>
  <c r="N335" i="7"/>
  <c r="O335" i="7" s="1"/>
  <c r="N381" i="7"/>
  <c r="O381" i="7" s="1"/>
  <c r="I45" i="7"/>
  <c r="J45" i="7" s="1"/>
  <c r="I91" i="7"/>
  <c r="J91" i="7" s="1"/>
  <c r="O108" i="7"/>
  <c r="N139" i="7"/>
  <c r="O139" i="7" s="1"/>
  <c r="N158" i="7"/>
  <c r="O158" i="7" s="1"/>
  <c r="N173" i="7"/>
  <c r="O173" i="7" s="1"/>
  <c r="I215" i="7"/>
  <c r="J215" i="7" s="1"/>
  <c r="I246" i="7"/>
  <c r="J246" i="7" s="1"/>
  <c r="J258" i="7"/>
  <c r="I277" i="7"/>
  <c r="J277" i="7" s="1"/>
  <c r="I341" i="7"/>
  <c r="J341" i="7" s="1"/>
  <c r="N345" i="7"/>
  <c r="O345" i="7" s="1"/>
  <c r="I391" i="7"/>
  <c r="J391" i="7" s="1"/>
  <c r="N91" i="7"/>
  <c r="O91" i="7" s="1"/>
  <c r="N215" i="7"/>
  <c r="O215" i="7" s="1"/>
  <c r="N322" i="7"/>
  <c r="O322" i="7" s="1"/>
  <c r="N331" i="7"/>
  <c r="O331" i="7" s="1"/>
  <c r="I346" i="7"/>
  <c r="J346" i="7"/>
  <c r="N61" i="7"/>
  <c r="O61" i="7" s="1"/>
  <c r="N79" i="7"/>
  <c r="O79" i="7" s="1"/>
  <c r="N140" i="7"/>
  <c r="O140" i="7" s="1"/>
  <c r="J151" i="7"/>
  <c r="N186" i="7"/>
  <c r="O186" i="7" s="1"/>
  <c r="N110" i="7"/>
  <c r="O110" i="7" s="1"/>
  <c r="N132" i="7"/>
  <c r="O132" i="7" s="1"/>
  <c r="N136" i="7"/>
  <c r="O136" i="7" s="1"/>
  <c r="J159" i="7"/>
  <c r="N229" i="7"/>
  <c r="O229" i="7" s="1"/>
  <c r="J247" i="7"/>
  <c r="N259" i="7"/>
  <c r="O259" i="7" s="1"/>
  <c r="I273" i="7"/>
  <c r="J273" i="7" s="1"/>
  <c r="J278" i="7"/>
  <c r="N346" i="7"/>
  <c r="O346" i="7" s="1"/>
  <c r="I351" i="7"/>
  <c r="J351" i="7" s="1"/>
  <c r="N354" i="7"/>
  <c r="O354" i="7" s="1"/>
  <c r="O372" i="7"/>
  <c r="I392" i="7"/>
  <c r="J392" i="7" s="1"/>
  <c r="N42" i="7"/>
  <c r="O42" i="7" s="1"/>
  <c r="N68" i="7"/>
  <c r="O68" i="7" s="1"/>
  <c r="I80" i="7"/>
  <c r="J80" i="7" s="1"/>
  <c r="N88" i="7"/>
  <c r="O88" i="7" s="1"/>
  <c r="I133" i="7"/>
  <c r="J133" i="7" s="1"/>
  <c r="N144" i="7"/>
  <c r="O144" i="7" s="1"/>
  <c r="N159" i="7"/>
  <c r="O159" i="7"/>
  <c r="J187" i="7"/>
  <c r="N273" i="7"/>
  <c r="O273" i="7" s="1"/>
  <c r="I373" i="7"/>
  <c r="J373" i="7" s="1"/>
  <c r="J204" i="7"/>
  <c r="N286" i="7"/>
  <c r="O286" i="7" s="1"/>
  <c r="N14" i="7"/>
  <c r="O14" i="7" s="1"/>
  <c r="I21" i="7"/>
  <c r="J21" i="7" s="1"/>
  <c r="I126" i="7"/>
  <c r="J126" i="7" s="1"/>
  <c r="O133" i="7"/>
  <c r="J152" i="7"/>
  <c r="I160" i="7"/>
  <c r="N187" i="7"/>
  <c r="O187" i="7" s="1"/>
  <c r="I251" i="7"/>
  <c r="J251" i="7" s="1"/>
  <c r="I292" i="7"/>
  <c r="J292" i="7" s="1"/>
  <c r="N296" i="7"/>
  <c r="O296" i="7" s="1"/>
  <c r="N323" i="7"/>
  <c r="O323" i="7" s="1"/>
  <c r="J32" i="7"/>
  <c r="N35" i="7"/>
  <c r="O35" i="7" s="1"/>
  <c r="I40" i="7"/>
  <c r="J40" i="7" s="1"/>
  <c r="J51" i="7"/>
  <c r="I70" i="7"/>
  <c r="J70" i="7" s="1"/>
  <c r="N73" i="7"/>
  <c r="O73" i="7" s="1"/>
  <c r="N81" i="7"/>
  <c r="O81" i="7" s="1"/>
  <c r="I86" i="7"/>
  <c r="J86" i="7" s="1"/>
  <c r="N97" i="7"/>
  <c r="O97" i="7" s="1"/>
  <c r="N126" i="7"/>
  <c r="O126" i="7" s="1"/>
  <c r="I168" i="7"/>
  <c r="J168" i="7" s="1"/>
  <c r="N183" i="7"/>
  <c r="O183" i="7" s="1"/>
  <c r="N197" i="7"/>
  <c r="O197" i="7" s="1"/>
  <c r="N232" i="7"/>
  <c r="O232" i="7" s="1"/>
  <c r="O235" i="7"/>
  <c r="N238" i="7"/>
  <c r="I297" i="7"/>
  <c r="J297" i="7" s="1"/>
  <c r="N365" i="7"/>
  <c r="O365" i="7" s="1"/>
  <c r="N393" i="7"/>
  <c r="O393" i="7" s="1"/>
  <c r="O409" i="7"/>
  <c r="N406" i="7"/>
  <c r="O406" i="7" s="1"/>
  <c r="J88" i="7"/>
  <c r="I110" i="7"/>
  <c r="J110" i="7" s="1"/>
  <c r="I229" i="7"/>
  <c r="J229" i="7" s="1"/>
  <c r="N290" i="7"/>
  <c r="O290" i="7" s="1"/>
  <c r="J387" i="7"/>
  <c r="O117" i="7"/>
  <c r="I47" i="7"/>
  <c r="J47" i="7" s="1"/>
  <c r="N234" i="7"/>
  <c r="O234" i="7" s="1"/>
  <c r="N255" i="7"/>
  <c r="O255" i="7" s="1"/>
  <c r="N269" i="7"/>
  <c r="O269" i="7" s="1"/>
  <c r="I323" i="7"/>
  <c r="J323" i="7" s="1"/>
  <c r="N382" i="7"/>
  <c r="O382" i="7" s="1"/>
  <c r="N412" i="7"/>
  <c r="O412" i="7" s="1"/>
  <c r="I69" i="7"/>
  <c r="J69" i="7" s="1"/>
  <c r="I96" i="7"/>
  <c r="J96" i="7" s="1"/>
  <c r="I182" i="7"/>
  <c r="J182" i="7" s="1"/>
  <c r="N200" i="7"/>
  <c r="O200" i="7" s="1"/>
  <c r="N212" i="7"/>
  <c r="O212" i="7" s="1"/>
  <c r="J231" i="7"/>
  <c r="O278" i="7"/>
  <c r="N300" i="7"/>
  <c r="O300" i="7" s="1"/>
  <c r="I347" i="7"/>
  <c r="J347" i="7" s="1"/>
  <c r="I383" i="7"/>
  <c r="J383" i="7"/>
  <c r="I39" i="7"/>
  <c r="J39" i="7" s="1"/>
  <c r="N69" i="7"/>
  <c r="O69" i="7" s="1"/>
  <c r="O101" i="7"/>
  <c r="N21" i="7"/>
  <c r="O21" i="7" s="1"/>
  <c r="I22" i="7"/>
  <c r="J22" i="7" s="1"/>
  <c r="N51" i="7"/>
  <c r="O51" i="7" s="1"/>
  <c r="O55" i="7"/>
  <c r="I83" i="7"/>
  <c r="J83" i="7" s="1"/>
  <c r="N119" i="7"/>
  <c r="O119" i="7" s="1"/>
  <c r="O149" i="7"/>
  <c r="N168" i="7"/>
  <c r="O168" i="7" s="1"/>
  <c r="N179" i="7"/>
  <c r="O179" i="7" s="1"/>
  <c r="J206" i="7"/>
  <c r="N217" i="7"/>
  <c r="O217" i="7" s="1"/>
  <c r="N248" i="7"/>
  <c r="O248" i="7" s="1"/>
  <c r="J275" i="7"/>
  <c r="I280" i="7"/>
  <c r="J280" i="7" s="1"/>
  <c r="N301" i="7"/>
  <c r="O301" i="7" s="1"/>
  <c r="I325" i="7"/>
  <c r="J325" i="7" s="1"/>
  <c r="O338" i="7"/>
  <c r="I344" i="7"/>
  <c r="J344" i="7" s="1"/>
  <c r="I370" i="7"/>
  <c r="J370" i="7" s="1"/>
  <c r="O374" i="7"/>
  <c r="I389" i="7"/>
  <c r="J389" i="7" s="1"/>
  <c r="J399" i="7"/>
  <c r="I410" i="7"/>
  <c r="J410" i="7" s="1"/>
  <c r="N130" i="7"/>
  <c r="O130" i="7" s="1"/>
  <c r="N39" i="7"/>
  <c r="O39" i="7" s="1"/>
  <c r="I94" i="7"/>
  <c r="J94" i="7"/>
  <c r="I180" i="7"/>
  <c r="J180" i="7" s="1"/>
  <c r="N195" i="7"/>
  <c r="O195" i="7" s="1"/>
  <c r="N205" i="7"/>
  <c r="O205" i="7" s="1"/>
  <c r="J227" i="7"/>
  <c r="I242" i="7"/>
  <c r="J242" i="7" s="1"/>
  <c r="N268" i="7"/>
  <c r="O268" i="7" s="1"/>
  <c r="N287" i="7"/>
  <c r="O287" i="7" s="1"/>
  <c r="I299" i="7"/>
  <c r="J299" i="7" s="1"/>
  <c r="N303" i="7"/>
  <c r="O303" i="7" s="1"/>
  <c r="O306" i="7"/>
  <c r="O310" i="7"/>
  <c r="J314" i="7"/>
  <c r="J322" i="7"/>
  <c r="O340" i="7"/>
  <c r="J371" i="7"/>
  <c r="N375" i="7"/>
  <c r="O375" i="7" s="1"/>
  <c r="I388" i="7"/>
  <c r="J388" i="7" s="1"/>
  <c r="N413" i="7"/>
  <c r="O413" i="7" s="1"/>
  <c r="I49" i="7"/>
  <c r="J49" i="7" s="1"/>
  <c r="I75" i="7"/>
  <c r="J75" i="7" s="1"/>
  <c r="I112" i="7"/>
  <c r="J112" i="7" s="1"/>
  <c r="N121" i="7"/>
  <c r="O121" i="7" s="1"/>
  <c r="I131" i="7"/>
  <c r="J131" i="7" s="1"/>
  <c r="I137" i="7"/>
  <c r="J137" i="7" s="1"/>
  <c r="I146" i="7"/>
  <c r="J146" i="7" s="1"/>
  <c r="I155" i="7"/>
  <c r="J155" i="7" s="1"/>
  <c r="N167" i="7"/>
  <c r="O167" i="7" s="1"/>
  <c r="N170" i="7"/>
  <c r="O170" i="7" s="1"/>
  <c r="I269" i="7"/>
  <c r="J269" i="7" s="1"/>
  <c r="N272" i="7"/>
  <c r="O272" i="7" s="1"/>
  <c r="I276" i="7"/>
  <c r="J276" i="7" s="1"/>
  <c r="N314" i="7"/>
  <c r="O314" i="7"/>
  <c r="N318" i="7"/>
  <c r="O318" i="7" s="1"/>
  <c r="N332" i="7"/>
  <c r="O332" i="7" s="1"/>
  <c r="N371" i="7"/>
  <c r="O371" i="7" s="1"/>
  <c r="I379" i="7"/>
  <c r="J379" i="7" s="1"/>
  <c r="N384" i="7"/>
  <c r="O384" i="7" s="1"/>
  <c r="N395" i="7"/>
  <c r="O395" i="7" s="1"/>
  <c r="N401" i="7"/>
  <c r="O401" i="7" s="1"/>
  <c r="I36" i="7"/>
  <c r="J36" i="7" s="1"/>
  <c r="N57" i="7"/>
  <c r="O57" i="7" s="1"/>
  <c r="N66" i="7"/>
  <c r="O66" i="7" s="1"/>
  <c r="N94" i="7"/>
  <c r="O94" i="7" s="1"/>
  <c r="N115" i="7"/>
  <c r="O115" i="7" s="1"/>
  <c r="N137" i="7"/>
  <c r="O137" i="7" s="1"/>
  <c r="N146" i="7"/>
  <c r="O146" i="7" s="1"/>
  <c r="I171" i="7"/>
  <c r="J171" i="7" s="1"/>
  <c r="N202" i="7"/>
  <c r="O202" i="7" s="1"/>
  <c r="N208" i="7"/>
  <c r="O208" i="7" s="1"/>
  <c r="I213" i="7"/>
  <c r="J213" i="7" s="1"/>
  <c r="N227" i="7"/>
  <c r="O227" i="7" s="1"/>
  <c r="I232" i="7"/>
  <c r="J232" i="7" s="1"/>
  <c r="I284" i="7"/>
  <c r="J284" i="7" s="1"/>
  <c r="I288" i="7"/>
  <c r="J288" i="7" s="1"/>
  <c r="I315" i="7"/>
  <c r="J315" i="7" s="1"/>
  <c r="N344" i="7"/>
  <c r="O344" i="7" s="1"/>
  <c r="N348" i="7"/>
  <c r="O348" i="7" s="1"/>
  <c r="I364" i="7"/>
  <c r="J364" i="7" s="1"/>
  <c r="J368" i="7"/>
  <c r="N388" i="7"/>
  <c r="O388" i="7" s="1"/>
  <c r="I396" i="7"/>
  <c r="J396" i="7" s="1"/>
  <c r="N405" i="7"/>
  <c r="O405" i="7" s="1"/>
  <c r="N279" i="7"/>
  <c r="O279" i="7" s="1"/>
  <c r="I291" i="7"/>
  <c r="J291" i="7" s="1"/>
  <c r="N383" i="7"/>
  <c r="O383" i="7" s="1"/>
  <c r="I395" i="7"/>
  <c r="J395" i="7" s="1"/>
  <c r="N400" i="7"/>
  <c r="O400" i="7" s="1"/>
  <c r="I19" i="7"/>
  <c r="J19" i="7" s="1"/>
  <c r="N48" i="7"/>
  <c r="O48" i="7" s="1"/>
  <c r="I85" i="7"/>
  <c r="J85" i="7" s="1"/>
  <c r="I115" i="7"/>
  <c r="J115" i="7" s="1"/>
  <c r="I164" i="7"/>
  <c r="J164" i="7" s="1"/>
  <c r="N241" i="7"/>
  <c r="O241" i="7" s="1"/>
  <c r="I253" i="7"/>
  <c r="J253" i="7" s="1"/>
  <c r="I268" i="7"/>
  <c r="J268" i="7" s="1"/>
  <c r="J287" i="7"/>
  <c r="N291" i="7"/>
  <c r="O291" i="7" s="1"/>
  <c r="N298" i="7"/>
  <c r="O298" i="7" s="1"/>
  <c r="J336" i="7"/>
  <c r="I352" i="7"/>
  <c r="J352" i="7" s="1"/>
  <c r="J363" i="7"/>
  <c r="J375" i="7"/>
  <c r="N27" i="7"/>
  <c r="O27" i="7" s="1"/>
  <c r="I57" i="7"/>
  <c r="J57" i="7" s="1"/>
  <c r="I104" i="7"/>
  <c r="J104" i="7" s="1"/>
  <c r="O164" i="7"/>
  <c r="J202" i="7"/>
  <c r="N237" i="7"/>
  <c r="O237" i="7" s="1"/>
  <c r="I283" i="7"/>
  <c r="J283" i="7" s="1"/>
  <c r="I311" i="7"/>
  <c r="J311" i="7" s="1"/>
  <c r="N45" i="7"/>
  <c r="O45" i="7" s="1"/>
  <c r="O75" i="7"/>
  <c r="N104" i="7"/>
  <c r="O104" i="7" s="1"/>
  <c r="N112" i="7"/>
  <c r="O112" i="7" s="1"/>
  <c r="N118" i="7"/>
  <c r="O118" i="7" s="1"/>
  <c r="I128" i="7"/>
  <c r="J128" i="7" s="1"/>
  <c r="O155" i="7"/>
  <c r="I177" i="7"/>
  <c r="J177" i="7" s="1"/>
  <c r="I188" i="7"/>
  <c r="J188" i="7"/>
  <c r="O224" i="7"/>
  <c r="I261" i="7"/>
  <c r="J261" i="7" s="1"/>
  <c r="I337" i="7"/>
  <c r="J337" i="7" s="1"/>
  <c r="I349" i="7"/>
  <c r="J349" i="7" s="1"/>
  <c r="I385" i="7"/>
  <c r="J385" i="7" s="1"/>
  <c r="J402" i="7"/>
  <c r="I406" i="7"/>
  <c r="J406" i="7" s="1"/>
  <c r="I411" i="7"/>
  <c r="J411" i="7" s="1"/>
  <c r="N258" i="7"/>
  <c r="O258" i="7" s="1"/>
  <c r="N101" i="7"/>
  <c r="N226" i="7"/>
  <c r="O226" i="7" s="1"/>
  <c r="I259" i="7"/>
  <c r="J259" i="7" s="1"/>
  <c r="N265" i="7"/>
  <c r="O265" i="7" s="1"/>
  <c r="N308" i="7"/>
  <c r="O308" i="7" s="1"/>
  <c r="I330" i="7"/>
  <c r="J330" i="7" s="1"/>
  <c r="N339" i="7"/>
  <c r="O339" i="7" s="1"/>
  <c r="J367" i="7"/>
  <c r="N98" i="7"/>
  <c r="O98" i="7" s="1"/>
  <c r="I144" i="7"/>
  <c r="J144" i="7" s="1"/>
  <c r="N190" i="7"/>
  <c r="O190" i="7" s="1"/>
  <c r="N249" i="7"/>
  <c r="O249" i="7" s="1"/>
  <c r="I256" i="7"/>
  <c r="J256" i="7" s="1"/>
  <c r="I293" i="7"/>
  <c r="J293" i="7" s="1"/>
  <c r="N302" i="7"/>
  <c r="O302" i="7" s="1"/>
  <c r="J318" i="7"/>
  <c r="J324" i="7"/>
  <c r="O336" i="7"/>
  <c r="N373" i="7"/>
  <c r="O373" i="7" s="1"/>
  <c r="I390" i="7"/>
  <c r="J390" i="7" s="1"/>
  <c r="N311" i="7"/>
  <c r="O311" i="7" s="1"/>
  <c r="N351" i="7"/>
  <c r="O351" i="7" s="1"/>
  <c r="N410" i="7"/>
  <c r="O410" i="7" s="1"/>
  <c r="N150" i="7"/>
  <c r="O150" i="7" s="1"/>
  <c r="I205" i="7"/>
  <c r="J205" i="7" s="1"/>
  <c r="N280" i="7"/>
  <c r="O280" i="7" s="1"/>
  <c r="N289" i="7"/>
  <c r="O289" i="7" s="1"/>
  <c r="I327" i="7"/>
  <c r="J327" i="7" s="1"/>
  <c r="N333" i="7"/>
  <c r="O333" i="7" s="1"/>
  <c r="I340" i="7"/>
  <c r="J340" i="7" s="1"/>
  <c r="N367" i="7"/>
  <c r="O367" i="7" s="1"/>
  <c r="N386" i="7"/>
  <c r="O386" i="7" s="1"/>
  <c r="O389" i="7"/>
  <c r="N253" i="7"/>
  <c r="O253" i="7" s="1"/>
  <c r="N293" i="7"/>
  <c r="O293" i="7" s="1"/>
  <c r="I306" i="7"/>
  <c r="J306" i="7" s="1"/>
  <c r="I309" i="7"/>
  <c r="J309" i="7" s="1"/>
  <c r="N330" i="7"/>
  <c r="O330" i="7" s="1"/>
  <c r="I355" i="7"/>
  <c r="J355" i="7" s="1"/>
  <c r="N358" i="7"/>
  <c r="O358" i="7" s="1"/>
  <c r="N364" i="7"/>
  <c r="O364" i="7" s="1"/>
  <c r="I387" i="7"/>
  <c r="N390" i="7"/>
  <c r="O390" i="7" s="1"/>
  <c r="I415" i="7"/>
  <c r="J415" i="7" s="1"/>
  <c r="I197" i="7"/>
  <c r="J197" i="7" s="1"/>
  <c r="I305" i="7"/>
  <c r="J305" i="7" s="1"/>
  <c r="J244" i="7"/>
  <c r="I92" i="7"/>
  <c r="J92" i="7" s="1"/>
  <c r="I186" i="7"/>
  <c r="J186" i="7" s="1"/>
  <c r="N224" i="7"/>
  <c r="O85" i="7"/>
  <c r="N188" i="7"/>
  <c r="O188" i="7" s="1"/>
  <c r="N256" i="7"/>
  <c r="O256" i="7" s="1"/>
  <c r="N321" i="7"/>
  <c r="O321" i="7" s="1"/>
  <c r="O324" i="7"/>
  <c r="N343" i="7"/>
  <c r="O343" i="7" s="1"/>
  <c r="N355" i="7"/>
  <c r="O355" i="7" s="1"/>
  <c r="N361" i="7"/>
  <c r="O361" i="7" s="1"/>
  <c r="N396" i="7"/>
  <c r="O396" i="7" s="1"/>
  <c r="I404" i="7"/>
  <c r="J404" i="7" s="1"/>
  <c r="N246" i="7"/>
  <c r="O246" i="7" s="1"/>
  <c r="N317" i="7"/>
  <c r="O317" i="7" s="1"/>
  <c r="N329" i="7"/>
  <c r="O329" i="7" s="1"/>
  <c r="I369" i="7"/>
  <c r="J369" i="7" s="1"/>
  <c r="O411" i="7"/>
  <c r="N285" i="7"/>
  <c r="O285" i="7" s="1"/>
  <c r="I308" i="7"/>
  <c r="J308" i="7" s="1"/>
  <c r="N313" i="7"/>
  <c r="O313" i="7" s="1"/>
  <c r="N349" i="7"/>
  <c r="O349" i="7" s="1"/>
  <c r="I372" i="7"/>
  <c r="J372" i="7" s="1"/>
  <c r="N377" i="7"/>
  <c r="O377" i="7" s="1"/>
  <c r="N263" i="7"/>
  <c r="O263" i="7" s="1"/>
  <c r="N277" i="7"/>
  <c r="O277" i="7" s="1"/>
  <c r="N299" i="7"/>
  <c r="O299" i="7" s="1"/>
  <c r="N341" i="7"/>
  <c r="O341" i="7" s="1"/>
  <c r="N363" i="7"/>
  <c r="O363" i="7" s="1"/>
  <c r="N408" i="7"/>
  <c r="O408" i="7" s="1"/>
  <c r="N295" i="7"/>
  <c r="O295" i="7" s="1"/>
  <c r="N327" i="7"/>
  <c r="O327" i="7" s="1"/>
  <c r="N359" i="7"/>
  <c r="O359" i="7" s="1"/>
  <c r="N392" i="7"/>
  <c r="O392" i="7" s="1"/>
  <c r="N305" i="7"/>
  <c r="O305" i="7" s="1"/>
  <c r="N337" i="7"/>
  <c r="O337" i="7" s="1"/>
  <c r="N369" i="7"/>
  <c r="O369" i="7" s="1"/>
  <c r="N403" i="7"/>
  <c r="O403" i="7" s="1"/>
  <c r="N254" i="7"/>
  <c r="O254" i="7" s="1"/>
  <c r="N271" i="7"/>
  <c r="O271" i="7" s="1"/>
  <c r="N283" i="7"/>
  <c r="O283" i="7" s="1"/>
  <c r="N315" i="7"/>
  <c r="O315" i="7" s="1"/>
  <c r="N347" i="7"/>
  <c r="O347" i="7" s="1"/>
  <c r="N379" i="7"/>
  <c r="O379" i="7" s="1"/>
  <c r="N415" i="7"/>
  <c r="O415" i="7" s="1"/>
  <c r="I29" i="5"/>
  <c r="J29" i="5" s="1"/>
  <c r="I73" i="5"/>
  <c r="J73" i="5" s="1"/>
  <c r="N146" i="5"/>
  <c r="O146" i="5" s="1"/>
  <c r="N160" i="5"/>
  <c r="O160" i="5" s="1"/>
  <c r="I125" i="5"/>
  <c r="J125" i="5" s="1"/>
  <c r="N38" i="5"/>
  <c r="O38" i="5" s="1"/>
  <c r="I86" i="5"/>
  <c r="J86" i="5" s="1"/>
  <c r="I33" i="5"/>
  <c r="J33" i="5" s="1"/>
  <c r="N117" i="5"/>
  <c r="O117" i="5" s="1"/>
  <c r="I65" i="5"/>
  <c r="J65" i="5"/>
  <c r="I17" i="5"/>
  <c r="J17" i="5" s="1"/>
  <c r="N66" i="5"/>
  <c r="O66" i="5" s="1"/>
  <c r="I24" i="5"/>
  <c r="J24" i="5" s="1"/>
  <c r="I53" i="5"/>
  <c r="J53" i="5"/>
  <c r="I141" i="5"/>
  <c r="J141" i="5" s="1"/>
  <c r="I13" i="5"/>
  <c r="J13" i="5" s="1"/>
  <c r="I69" i="5"/>
  <c r="J69" i="5" s="1"/>
  <c r="N34" i="5"/>
  <c r="O34" i="5" s="1"/>
  <c r="I108" i="5"/>
  <c r="J108" i="5" s="1"/>
  <c r="N42" i="5"/>
  <c r="O42" i="5" s="1"/>
  <c r="I28" i="5"/>
  <c r="J28" i="5" s="1"/>
  <c r="I57" i="5"/>
  <c r="J57" i="5" s="1"/>
  <c r="I136" i="5"/>
  <c r="J136" i="5" s="1"/>
  <c r="N90" i="5"/>
  <c r="O90" i="5" s="1"/>
  <c r="I97" i="5"/>
  <c r="J97" i="5" s="1"/>
  <c r="N141" i="5"/>
  <c r="O141" i="5" s="1"/>
  <c r="N18" i="5"/>
  <c r="O18" i="5" s="1"/>
  <c r="N74" i="5"/>
  <c r="O74" i="5" s="1"/>
  <c r="I153" i="5"/>
  <c r="J153" i="5" s="1"/>
  <c r="J148" i="5"/>
  <c r="I64" i="5"/>
  <c r="J64" i="5" s="1"/>
  <c r="N148" i="5"/>
  <c r="O148" i="5" s="1"/>
  <c r="I44" i="5"/>
  <c r="J44" i="5" s="1"/>
  <c r="I102" i="5"/>
  <c r="J102" i="5" s="1"/>
  <c r="I119" i="5"/>
  <c r="J119" i="5" s="1"/>
  <c r="I131" i="5"/>
  <c r="J131" i="5" s="1"/>
  <c r="N24" i="5"/>
  <c r="O24" i="5" s="1"/>
  <c r="N49" i="5"/>
  <c r="O49" i="5" s="1"/>
  <c r="N54" i="5"/>
  <c r="O54" i="5" s="1"/>
  <c r="I91" i="5"/>
  <c r="J91" i="5"/>
  <c r="N119" i="5"/>
  <c r="O119" i="5" s="1"/>
  <c r="N131" i="5"/>
  <c r="O131" i="5" s="1"/>
  <c r="N136" i="5"/>
  <c r="O136" i="5" s="1"/>
  <c r="N154" i="5"/>
  <c r="O154" i="5" s="1"/>
  <c r="I20" i="5"/>
  <c r="J20" i="5" s="1"/>
  <c r="I25" i="5"/>
  <c r="J25" i="5" s="1"/>
  <c r="I35" i="5"/>
  <c r="J35" i="5" s="1"/>
  <c r="J60" i="5"/>
  <c r="I121" i="5"/>
  <c r="J121" i="5" s="1"/>
  <c r="I132" i="5"/>
  <c r="J132" i="5" s="1"/>
  <c r="I137" i="5"/>
  <c r="J137" i="5" s="1"/>
  <c r="I144" i="5"/>
  <c r="J144" i="5" s="1"/>
  <c r="I150" i="5"/>
  <c r="J150" i="5" s="1"/>
  <c r="I12" i="5"/>
  <c r="J12" i="5" s="1"/>
  <c r="J16" i="5"/>
  <c r="N25" i="5"/>
  <c r="O25" i="5" s="1"/>
  <c r="I40" i="5"/>
  <c r="J40" i="5" s="1"/>
  <c r="I50" i="5"/>
  <c r="J50" i="5" s="1"/>
  <c r="I55" i="5"/>
  <c r="J55" i="5" s="1"/>
  <c r="N70" i="5"/>
  <c r="O70" i="5" s="1"/>
  <c r="N86" i="5"/>
  <c r="O86" i="5" s="1"/>
  <c r="I92" i="5"/>
  <c r="J92" i="5" s="1"/>
  <c r="I103" i="5"/>
  <c r="J103" i="5" s="1"/>
  <c r="O108" i="5"/>
  <c r="N23" i="5"/>
  <c r="O23" i="5" s="1"/>
  <c r="I90" i="5"/>
  <c r="J90" i="5" s="1"/>
  <c r="I130" i="5"/>
  <c r="J130" i="5" s="1"/>
  <c r="I112" i="5"/>
  <c r="J112" i="5" s="1"/>
  <c r="O14" i="5"/>
  <c r="I59" i="5"/>
  <c r="J59" i="5"/>
  <c r="N80" i="5"/>
  <c r="O80" i="5"/>
  <c r="J49" i="5"/>
  <c r="I71" i="5"/>
  <c r="J71" i="5" s="1"/>
  <c r="N103" i="5"/>
  <c r="O103" i="5" s="1"/>
  <c r="I127" i="5"/>
  <c r="J127" i="5" s="1"/>
  <c r="N12" i="5"/>
  <c r="O12" i="5" s="1"/>
  <c r="N20" i="5"/>
  <c r="O20" i="5" s="1"/>
  <c r="J45" i="5"/>
  <c r="I56" i="5"/>
  <c r="J56" i="5"/>
  <c r="I115" i="5"/>
  <c r="J115" i="5" s="1"/>
  <c r="J31" i="5"/>
  <c r="I61" i="5"/>
  <c r="J61" i="5"/>
  <c r="N77" i="5"/>
  <c r="O77" i="5" s="1"/>
  <c r="N115" i="5"/>
  <c r="O115" i="5" s="1"/>
  <c r="I27" i="5"/>
  <c r="J27" i="5" s="1"/>
  <c r="N31" i="5"/>
  <c r="O31" i="5" s="1"/>
  <c r="O36" i="5"/>
  <c r="I46" i="5"/>
  <c r="J46" i="5" s="1"/>
  <c r="I78" i="5"/>
  <c r="J78" i="5" s="1"/>
  <c r="I110" i="5"/>
  <c r="J110" i="5" s="1"/>
  <c r="I146" i="5"/>
  <c r="J146" i="5" s="1"/>
  <c r="I37" i="5"/>
  <c r="J37" i="5" s="1"/>
  <c r="N46" i="5"/>
  <c r="O46" i="5" s="1"/>
  <c r="I83" i="5"/>
  <c r="J83" i="5"/>
  <c r="I123" i="5"/>
  <c r="J123" i="5" s="1"/>
  <c r="I22" i="5"/>
  <c r="J22" i="5" s="1"/>
  <c r="O58" i="5"/>
  <c r="N64" i="5"/>
  <c r="O64" i="5" s="1"/>
  <c r="N112" i="5"/>
  <c r="O112" i="5" s="1"/>
  <c r="J26" i="5"/>
  <c r="I36" i="5"/>
  <c r="J36" i="5" s="1"/>
  <c r="N40" i="5"/>
  <c r="O40" i="5" s="1"/>
  <c r="N50" i="5"/>
  <c r="O50" i="5" s="1"/>
  <c r="N92" i="5"/>
  <c r="O92" i="5" s="1"/>
  <c r="I138" i="5"/>
  <c r="J138" i="5" s="1"/>
  <c r="N16" i="5"/>
  <c r="O16" i="5" s="1"/>
  <c r="I41" i="5"/>
  <c r="J41" i="5" s="1"/>
  <c r="I51" i="5"/>
  <c r="J51" i="5" s="1"/>
  <c r="I77" i="5"/>
  <c r="J77" i="5" s="1"/>
  <c r="I93" i="5"/>
  <c r="J93" i="5" s="1"/>
  <c r="I104" i="5"/>
  <c r="J104" i="5" s="1"/>
  <c r="I109" i="5"/>
  <c r="J109" i="5" s="1"/>
  <c r="N26" i="5"/>
  <c r="O26" i="5" s="1"/>
  <c r="N56" i="5"/>
  <c r="O56" i="5" s="1"/>
  <c r="I72" i="5"/>
  <c r="J72" i="5" s="1"/>
  <c r="O122" i="5"/>
  <c r="I151" i="5"/>
  <c r="J151" i="5" s="1"/>
  <c r="I21" i="5"/>
  <c r="J21" i="5" s="1"/>
  <c r="I52" i="5"/>
  <c r="J52" i="5" s="1"/>
  <c r="O82" i="5"/>
  <c r="I99" i="5"/>
  <c r="J99" i="5" s="1"/>
  <c r="I128" i="5"/>
  <c r="J128" i="5" s="1"/>
  <c r="N151" i="5"/>
  <c r="O151" i="5" s="1"/>
  <c r="N163" i="5"/>
  <c r="O163" i="5" s="1"/>
  <c r="I32" i="5"/>
  <c r="J32" i="5" s="1"/>
  <c r="I42" i="5"/>
  <c r="J42" i="5" s="1"/>
  <c r="I88" i="5"/>
  <c r="J88" i="5" s="1"/>
  <c r="O78" i="5"/>
  <c r="N128" i="5"/>
  <c r="O128" i="5" s="1"/>
  <c r="I134" i="5"/>
  <c r="J134" i="5" s="1"/>
  <c r="N157" i="5"/>
  <c r="O157" i="5" s="1"/>
  <c r="N22" i="5"/>
  <c r="O22" i="5" s="1"/>
  <c r="I38" i="5"/>
  <c r="J38" i="5" s="1"/>
  <c r="N57" i="5"/>
  <c r="O57" i="5" s="1"/>
  <c r="I68" i="5"/>
  <c r="J68" i="5" s="1"/>
  <c r="N73" i="5"/>
  <c r="O73" i="5" s="1"/>
  <c r="I79" i="5"/>
  <c r="J79" i="5" s="1"/>
  <c r="I84" i="5"/>
  <c r="J84" i="5" s="1"/>
  <c r="N94" i="5"/>
  <c r="O94" i="5" s="1"/>
  <c r="I100" i="5"/>
  <c r="J100" i="5" s="1"/>
  <c r="J117" i="5"/>
  <c r="I158" i="5"/>
  <c r="J158" i="5" s="1"/>
  <c r="I165" i="5"/>
  <c r="J165" i="5" s="1"/>
  <c r="N47" i="5"/>
  <c r="O47" i="5" s="1"/>
  <c r="N62" i="5"/>
  <c r="O62" i="5" s="1"/>
  <c r="I95" i="5"/>
  <c r="J95" i="5" s="1"/>
  <c r="N165" i="5"/>
  <c r="O165" i="5" s="1"/>
  <c r="I48" i="5"/>
  <c r="J48" i="5" s="1"/>
  <c r="J74" i="5"/>
  <c r="N100" i="5"/>
  <c r="O100" i="5" s="1"/>
  <c r="I106" i="5"/>
  <c r="J106" i="5" s="1"/>
  <c r="I118" i="5"/>
  <c r="J118" i="5" s="1"/>
  <c r="I152" i="5"/>
  <c r="J152" i="5" s="1"/>
  <c r="N17" i="5"/>
  <c r="O17" i="5" s="1"/>
  <c r="J39" i="5"/>
  <c r="I43" i="5"/>
  <c r="J43" i="5" s="1"/>
  <c r="I54" i="5"/>
  <c r="J54" i="5" s="1"/>
  <c r="I58" i="5"/>
  <c r="J58" i="5" s="1"/>
  <c r="I70" i="5"/>
  <c r="J70" i="5" s="1"/>
  <c r="N91" i="5"/>
  <c r="O91" i="5" s="1"/>
  <c r="N118" i="5"/>
  <c r="O118" i="5" s="1"/>
  <c r="I163" i="5"/>
  <c r="J163" i="5" s="1"/>
  <c r="I14" i="5"/>
  <c r="J14" i="5" s="1"/>
  <c r="N28" i="5"/>
  <c r="O28" i="5" s="1"/>
  <c r="N39" i="5"/>
  <c r="O39" i="5" s="1"/>
  <c r="I62" i="5"/>
  <c r="J62" i="5" s="1"/>
  <c r="I66" i="5"/>
  <c r="J66" i="5" s="1"/>
  <c r="N87" i="5"/>
  <c r="O87" i="5" s="1"/>
  <c r="I101" i="5"/>
  <c r="J101" i="5" s="1"/>
  <c r="I105" i="5"/>
  <c r="J105" i="5" s="1"/>
  <c r="I129" i="5"/>
  <c r="J129" i="5" s="1"/>
  <c r="I133" i="5"/>
  <c r="J133" i="5" s="1"/>
  <c r="N143" i="5"/>
  <c r="O143" i="5" s="1"/>
  <c r="N156" i="5"/>
  <c r="O156" i="5" s="1"/>
  <c r="N32" i="5"/>
  <c r="O32" i="5" s="1"/>
  <c r="I75" i="5"/>
  <c r="J75" i="5" s="1"/>
  <c r="N96" i="5"/>
  <c r="O96" i="5" s="1"/>
  <c r="N114" i="5"/>
  <c r="O114" i="5" s="1"/>
  <c r="N124" i="5"/>
  <c r="O124" i="5" s="1"/>
  <c r="I157" i="5"/>
  <c r="J157" i="5" s="1"/>
  <c r="I67" i="5"/>
  <c r="J67" i="5" s="1"/>
  <c r="N97" i="5"/>
  <c r="O97" i="5" s="1"/>
  <c r="N125" i="5"/>
  <c r="O125" i="5" s="1"/>
  <c r="N33" i="5"/>
  <c r="O33" i="5" s="1"/>
  <c r="N71" i="5"/>
  <c r="O71" i="5" s="1"/>
  <c r="N84" i="5"/>
  <c r="O84" i="5" s="1"/>
  <c r="N88" i="5"/>
  <c r="O88" i="5" s="1"/>
  <c r="N93" i="5"/>
  <c r="O93" i="5" s="1"/>
  <c r="I98" i="5"/>
  <c r="J98" i="5" s="1"/>
  <c r="N110" i="5"/>
  <c r="O110" i="5" s="1"/>
  <c r="N121" i="5"/>
  <c r="O121" i="5" s="1"/>
  <c r="I126" i="5"/>
  <c r="J126" i="5" s="1"/>
  <c r="N138" i="5"/>
  <c r="O138" i="5" s="1"/>
  <c r="N144" i="5"/>
  <c r="O144" i="5" s="1"/>
  <c r="N158" i="5"/>
  <c r="O158" i="5" s="1"/>
  <c r="J15" i="5"/>
  <c r="I19" i="5"/>
  <c r="J19" i="5" s="1"/>
  <c r="I30" i="5"/>
  <c r="J30" i="5" s="1"/>
  <c r="N44" i="5"/>
  <c r="O44" i="5" s="1"/>
  <c r="N55" i="5"/>
  <c r="O55" i="5" s="1"/>
  <c r="J63" i="5"/>
  <c r="I81" i="5"/>
  <c r="J81" i="5" s="1"/>
  <c r="N106" i="5"/>
  <c r="O106" i="5" s="1"/>
  <c r="N134" i="5"/>
  <c r="O134" i="5" s="1"/>
  <c r="I154" i="5"/>
  <c r="J154" i="5" s="1"/>
  <c r="I159" i="5"/>
  <c r="J159" i="5" s="1"/>
  <c r="N15" i="5"/>
  <c r="O15" i="5" s="1"/>
  <c r="I34" i="5"/>
  <c r="J34" i="5" s="1"/>
  <c r="N48" i="5"/>
  <c r="O48" i="5" s="1"/>
  <c r="N63" i="5"/>
  <c r="O63" i="5" s="1"/>
  <c r="N76" i="5"/>
  <c r="O76" i="5" s="1"/>
  <c r="I85" i="5"/>
  <c r="J85" i="5" s="1"/>
  <c r="I89" i="5"/>
  <c r="J89" i="5" s="1"/>
  <c r="J94" i="5"/>
  <c r="O98" i="5"/>
  <c r="O102" i="5"/>
  <c r="I107" i="5"/>
  <c r="J107" i="5" s="1"/>
  <c r="I111" i="5"/>
  <c r="J111" i="5" s="1"/>
  <c r="I116" i="5"/>
  <c r="J116" i="5" s="1"/>
  <c r="J122" i="5"/>
  <c r="O126" i="5"/>
  <c r="O130" i="5"/>
  <c r="I135" i="5"/>
  <c r="J135" i="5" s="1"/>
  <c r="I139" i="5"/>
  <c r="J139" i="5" s="1"/>
  <c r="I145" i="5"/>
  <c r="J145" i="5" s="1"/>
  <c r="N159" i="5"/>
  <c r="O159" i="5" s="1"/>
  <c r="N41" i="5"/>
  <c r="O41" i="5" s="1"/>
  <c r="N72" i="5"/>
  <c r="O72" i="5" s="1"/>
  <c r="I160" i="5"/>
  <c r="J160" i="5" s="1"/>
  <c r="N65" i="5"/>
  <c r="O65" i="5" s="1"/>
  <c r="N79" i="5"/>
  <c r="O79" i="5" s="1"/>
  <c r="N99" i="5"/>
  <c r="O99" i="5" s="1"/>
  <c r="N127" i="5"/>
  <c r="O127" i="5" s="1"/>
  <c r="N153" i="5"/>
  <c r="O153" i="5" s="1"/>
  <c r="N105" i="5"/>
  <c r="O105" i="5" s="1"/>
  <c r="N133" i="5"/>
  <c r="O133" i="5" s="1"/>
  <c r="I147" i="5"/>
  <c r="J147" i="5" s="1"/>
  <c r="I164" i="5"/>
  <c r="J164" i="5" s="1"/>
  <c r="N85" i="5"/>
  <c r="O85" i="5" s="1"/>
  <c r="N111" i="5"/>
  <c r="O111" i="5" s="1"/>
  <c r="N139" i="5"/>
  <c r="O139" i="5" s="1"/>
  <c r="N147" i="5"/>
  <c r="O147" i="5" s="1"/>
  <c r="N164" i="5"/>
  <c r="O164" i="5" s="1"/>
  <c r="N137" i="5"/>
  <c r="O137" i="5" s="1"/>
  <c r="N13" i="5"/>
  <c r="O13" i="5" s="1"/>
  <c r="N37" i="5"/>
  <c r="O37" i="5" s="1"/>
  <c r="N45" i="5"/>
  <c r="O45" i="5" s="1"/>
  <c r="N69" i="5"/>
  <c r="O69" i="5" s="1"/>
  <c r="N89" i="5"/>
  <c r="O89" i="5" s="1"/>
  <c r="N145" i="5"/>
  <c r="O145" i="5" s="1"/>
  <c r="N116" i="5"/>
  <c r="O116" i="5" s="1"/>
  <c r="I155" i="5"/>
  <c r="J155" i="5" s="1"/>
  <c r="N83" i="5"/>
  <c r="O83" i="5" s="1"/>
  <c r="N21" i="5"/>
  <c r="O21" i="5" s="1"/>
  <c r="N61" i="5"/>
  <c r="O61" i="5" s="1"/>
  <c r="N109" i="5"/>
  <c r="O109" i="5" s="1"/>
  <c r="N53" i="5"/>
  <c r="O53" i="5" s="1"/>
  <c r="N162" i="5"/>
  <c r="O162" i="5" s="1"/>
  <c r="N75" i="5"/>
  <c r="O75" i="5" s="1"/>
  <c r="N95" i="5"/>
  <c r="O95" i="5" s="1"/>
  <c r="N123" i="5"/>
  <c r="O123" i="5" s="1"/>
  <c r="N155" i="5"/>
  <c r="O155" i="5" s="1"/>
  <c r="N81" i="5"/>
  <c r="O81" i="5" s="1"/>
  <c r="N101" i="5"/>
  <c r="O101" i="5" s="1"/>
  <c r="N129" i="5"/>
  <c r="O129" i="5" s="1"/>
  <c r="I149" i="5"/>
  <c r="J149" i="5" s="1"/>
  <c r="I166" i="5"/>
  <c r="J166" i="5" s="1"/>
  <c r="I162" i="5"/>
  <c r="J162" i="5" s="1"/>
  <c r="N29" i="5"/>
  <c r="O29" i="5" s="1"/>
  <c r="N19" i="5"/>
  <c r="O19" i="5" s="1"/>
  <c r="N27" i="5"/>
  <c r="O27" i="5" s="1"/>
  <c r="N35" i="5"/>
  <c r="O35" i="5" s="1"/>
  <c r="N43" i="5"/>
  <c r="O43" i="5" s="1"/>
  <c r="N51" i="5"/>
  <c r="O51" i="5" s="1"/>
  <c r="N59" i="5"/>
  <c r="O59" i="5" s="1"/>
  <c r="N67" i="5"/>
  <c r="O67" i="5" s="1"/>
  <c r="I87" i="5"/>
  <c r="J87" i="5" s="1"/>
  <c r="N107" i="5"/>
  <c r="O107" i="5" s="1"/>
  <c r="N135" i="5"/>
  <c r="O135" i="5" s="1"/>
  <c r="I143" i="5"/>
  <c r="J143" i="5" s="1"/>
  <c r="N149" i="5"/>
  <c r="O149" i="5" s="1"/>
  <c r="N166" i="5"/>
  <c r="O166" i="5" s="1"/>
  <c r="G52" i="11" l="1"/>
  <c r="H52" i="11" s="1"/>
  <c r="I52" i="11" s="1"/>
  <c r="L52" i="11"/>
  <c r="M52" i="11" s="1"/>
  <c r="G91" i="12"/>
  <c r="H91" i="12" s="1"/>
  <c r="L91" i="12"/>
  <c r="M91" i="12" s="1"/>
  <c r="N52" i="11" l="1"/>
  <c r="O52" i="11"/>
  <c r="J52" i="11"/>
  <c r="N91" i="12"/>
  <c r="O91" i="12" s="1"/>
  <c r="I91" i="12"/>
  <c r="J91" i="12" s="1"/>
  <c r="G21" i="8"/>
  <c r="H21" i="8" s="1"/>
  <c r="I21" i="8" s="1"/>
  <c r="J21" i="8" s="1"/>
  <c r="L21" i="8"/>
  <c r="M21" i="8" s="1"/>
  <c r="N21" i="8" s="1"/>
  <c r="O21" i="8" s="1"/>
  <c r="G26" i="8"/>
  <c r="H26" i="8" s="1"/>
  <c r="L26" i="8"/>
  <c r="M26" i="8" s="1"/>
  <c r="G24" i="8"/>
  <c r="H24" i="8" s="1"/>
  <c r="I24" i="8" s="1"/>
  <c r="J24" i="8" s="1"/>
  <c r="L24" i="8"/>
  <c r="M24" i="8" s="1"/>
  <c r="N24" i="8" s="1"/>
  <c r="O24" i="8" s="1"/>
  <c r="G25" i="8"/>
  <c r="H25" i="8" s="1"/>
  <c r="I25" i="8" s="1"/>
  <c r="L25" i="8"/>
  <c r="M25" i="8" s="1"/>
  <c r="G38" i="10"/>
  <c r="H38" i="10" s="1"/>
  <c r="L38" i="10"/>
  <c r="M38" i="10" s="1"/>
  <c r="N38" i="10" s="1"/>
  <c r="G37" i="10"/>
  <c r="H37" i="10" s="1"/>
  <c r="I37" i="10" s="1"/>
  <c r="J37" i="10" s="1"/>
  <c r="L37" i="10"/>
  <c r="M37" i="10" s="1"/>
  <c r="G36" i="10"/>
  <c r="H36" i="10"/>
  <c r="I36" i="10" s="1"/>
  <c r="L36" i="10"/>
  <c r="M36" i="10" s="1"/>
  <c r="G51" i="11"/>
  <c r="H51" i="11" s="1"/>
  <c r="L51" i="11"/>
  <c r="M51" i="11" s="1"/>
  <c r="G63" i="16"/>
  <c r="H63" i="16" s="1"/>
  <c r="I63" i="16" s="1"/>
  <c r="J63" i="16" s="1"/>
  <c r="L63" i="16"/>
  <c r="M63" i="16" s="1"/>
  <c r="G64" i="16"/>
  <c r="H64" i="16" s="1"/>
  <c r="I64" i="16" s="1"/>
  <c r="J64" i="16" s="1"/>
  <c r="L64" i="16"/>
  <c r="M64" i="16" s="1"/>
  <c r="G44" i="10"/>
  <c r="H44" i="10" s="1"/>
  <c r="I44" i="10" s="1"/>
  <c r="L44" i="10"/>
  <c r="M44" i="10" s="1"/>
  <c r="N44" i="10" s="1"/>
  <c r="N63" i="16" l="1"/>
  <c r="O63" i="16" s="1"/>
  <c r="N64" i="16"/>
  <c r="O64" i="16"/>
  <c r="N26" i="8"/>
  <c r="O26" i="8" s="1"/>
  <c r="I26" i="8"/>
  <c r="J26" i="8" s="1"/>
  <c r="N25" i="8"/>
  <c r="O25" i="8" s="1"/>
  <c r="J25" i="8"/>
  <c r="I38" i="10"/>
  <c r="J38" i="10" s="1"/>
  <c r="O38" i="10"/>
  <c r="J36" i="10"/>
  <c r="N37" i="10"/>
  <c r="O37" i="10" s="1"/>
  <c r="N36" i="10"/>
  <c r="O36" i="10" s="1"/>
  <c r="N51" i="11"/>
  <c r="O51" i="11" s="1"/>
  <c r="I51" i="11"/>
  <c r="J51" i="11" s="1"/>
  <c r="O44" i="10"/>
  <c r="J44" i="10"/>
  <c r="G69" i="11"/>
  <c r="H69" i="11" s="1"/>
  <c r="L69" i="11"/>
  <c r="M69" i="11" s="1"/>
  <c r="N69" i="11" s="1"/>
  <c r="G50" i="11"/>
  <c r="H50" i="11" s="1"/>
  <c r="I50" i="11" s="1"/>
  <c r="J50" i="11" s="1"/>
  <c r="L50" i="11"/>
  <c r="M50" i="11" s="1"/>
  <c r="N50" i="11" s="1"/>
  <c r="G89" i="12"/>
  <c r="H89" i="12" s="1"/>
  <c r="I89" i="12" s="1"/>
  <c r="L89" i="12"/>
  <c r="M89" i="12" s="1"/>
  <c r="N89" i="12" s="1"/>
  <c r="I69" i="11" l="1"/>
  <c r="J69" i="11" s="1"/>
  <c r="O69" i="11"/>
  <c r="O50" i="11"/>
  <c r="O89" i="12"/>
  <c r="J89" i="12"/>
  <c r="G143" i="10" l="1"/>
  <c r="H143" i="10" s="1"/>
  <c r="L143" i="10"/>
  <c r="M143" i="10" s="1"/>
  <c r="N143" i="10" l="1"/>
  <c r="O143" i="10" s="1"/>
  <c r="I143" i="10"/>
  <c r="J143" i="10"/>
  <c r="L88" i="12" l="1"/>
  <c r="M88" i="12" s="1"/>
  <c r="G88" i="12"/>
  <c r="H88" i="12" s="1"/>
  <c r="L87" i="12"/>
  <c r="M87" i="12" s="1"/>
  <c r="G87" i="12"/>
  <c r="H87" i="12" s="1"/>
  <c r="L86" i="12"/>
  <c r="M86" i="12" s="1"/>
  <c r="G86" i="12"/>
  <c r="H86" i="12" s="1"/>
  <c r="L85" i="12"/>
  <c r="M85" i="12" s="1"/>
  <c r="G85" i="12"/>
  <c r="H85" i="12" s="1"/>
  <c r="L84" i="12"/>
  <c r="M84" i="12" s="1"/>
  <c r="G84" i="12"/>
  <c r="H84" i="12" s="1"/>
  <c r="L83" i="12"/>
  <c r="M83" i="12" s="1"/>
  <c r="G83" i="12"/>
  <c r="H83" i="12" s="1"/>
  <c r="L82" i="12"/>
  <c r="M82" i="12" s="1"/>
  <c r="G82" i="12"/>
  <c r="H82" i="12" s="1"/>
  <c r="L88" i="16"/>
  <c r="M88" i="16" s="1"/>
  <c r="G88" i="16"/>
  <c r="H88" i="16" s="1"/>
  <c r="L87" i="16"/>
  <c r="M87" i="16" s="1"/>
  <c r="G87" i="16"/>
  <c r="H87" i="16" s="1"/>
  <c r="L86" i="16"/>
  <c r="M86" i="16" s="1"/>
  <c r="G86" i="16"/>
  <c r="H86" i="16" s="1"/>
  <c r="L85" i="16"/>
  <c r="M85" i="16" s="1"/>
  <c r="G85" i="16"/>
  <c r="H85" i="16" s="1"/>
  <c r="L84" i="16"/>
  <c r="M84" i="16" s="1"/>
  <c r="G84" i="16"/>
  <c r="H84" i="16" s="1"/>
  <c r="L83" i="16"/>
  <c r="M83" i="16" s="1"/>
  <c r="G83" i="16"/>
  <c r="H83" i="16" s="1"/>
  <c r="L82" i="16"/>
  <c r="M82" i="16" s="1"/>
  <c r="G82" i="16"/>
  <c r="H82" i="16" s="1"/>
  <c r="L81" i="16"/>
  <c r="M81" i="16" s="1"/>
  <c r="G81" i="16"/>
  <c r="H81" i="16" s="1"/>
  <c r="L80" i="16"/>
  <c r="M80" i="16" s="1"/>
  <c r="G80" i="16"/>
  <c r="H80" i="16" s="1"/>
  <c r="L79" i="16"/>
  <c r="M79" i="16" s="1"/>
  <c r="G79" i="16"/>
  <c r="H79" i="16" s="1"/>
  <c r="L78" i="16"/>
  <c r="M78" i="16" s="1"/>
  <c r="G78" i="16"/>
  <c r="H78" i="16" s="1"/>
  <c r="L100" i="10"/>
  <c r="M100" i="10" s="1"/>
  <c r="G100" i="10"/>
  <c r="H100" i="10" s="1"/>
  <c r="L99" i="10"/>
  <c r="M99" i="10" s="1"/>
  <c r="G99" i="10"/>
  <c r="H99" i="10" s="1"/>
  <c r="L98" i="10"/>
  <c r="M98" i="10" s="1"/>
  <c r="G98" i="10"/>
  <c r="H98" i="10" s="1"/>
  <c r="L41" i="10"/>
  <c r="I88" i="12" l="1"/>
  <c r="J88" i="12" s="1"/>
  <c r="I82" i="12"/>
  <c r="J82" i="12" s="1"/>
  <c r="N82" i="12"/>
  <c r="O82" i="12" s="1"/>
  <c r="I83" i="12"/>
  <c r="J83" i="12" s="1"/>
  <c r="N83" i="12"/>
  <c r="O83" i="12" s="1"/>
  <c r="I84" i="12"/>
  <c r="J84" i="12"/>
  <c r="N84" i="12"/>
  <c r="O84" i="12" s="1"/>
  <c r="I85" i="12"/>
  <c r="J85" i="12" s="1"/>
  <c r="N85" i="12"/>
  <c r="O85" i="12" s="1"/>
  <c r="I86" i="12"/>
  <c r="J86" i="12" s="1"/>
  <c r="N86" i="12"/>
  <c r="O86" i="12" s="1"/>
  <c r="I87" i="12"/>
  <c r="J87" i="12" s="1"/>
  <c r="N87" i="12"/>
  <c r="O87" i="12" s="1"/>
  <c r="N88" i="12"/>
  <c r="O88" i="12" s="1"/>
  <c r="N80" i="16"/>
  <c r="O80" i="16"/>
  <c r="N88" i="16"/>
  <c r="O88" i="16" s="1"/>
  <c r="I81" i="16"/>
  <c r="J81" i="16" s="1"/>
  <c r="N81" i="16"/>
  <c r="O81" i="16" s="1"/>
  <c r="I82" i="16"/>
  <c r="J82" i="16" s="1"/>
  <c r="N82" i="16"/>
  <c r="O82" i="16"/>
  <c r="I83" i="16"/>
  <c r="J83" i="16" s="1"/>
  <c r="N83" i="16"/>
  <c r="O83" i="16" s="1"/>
  <c r="I84" i="16"/>
  <c r="J84" i="16" s="1"/>
  <c r="N84" i="16"/>
  <c r="O84" i="16" s="1"/>
  <c r="I85" i="16"/>
  <c r="J85" i="16" s="1"/>
  <c r="N85" i="16"/>
  <c r="O85" i="16" s="1"/>
  <c r="I78" i="16"/>
  <c r="J78" i="16" s="1"/>
  <c r="I86" i="16"/>
  <c r="J86" i="16" s="1"/>
  <c r="N78" i="16"/>
  <c r="O78" i="16" s="1"/>
  <c r="N86" i="16"/>
  <c r="O86" i="16" s="1"/>
  <c r="I79" i="16"/>
  <c r="J79" i="16" s="1"/>
  <c r="I87" i="16"/>
  <c r="J87" i="16" s="1"/>
  <c r="N79" i="16"/>
  <c r="O79" i="16" s="1"/>
  <c r="N87" i="16"/>
  <c r="O87" i="16" s="1"/>
  <c r="I80" i="16"/>
  <c r="J80" i="16" s="1"/>
  <c r="I88" i="16"/>
  <c r="J88" i="16" s="1"/>
  <c r="I100" i="10"/>
  <c r="J100" i="10" s="1"/>
  <c r="N100" i="10"/>
  <c r="O100" i="10" s="1"/>
  <c r="I99" i="10"/>
  <c r="J99" i="10" s="1"/>
  <c r="N99" i="10"/>
  <c r="O99" i="10"/>
  <c r="I98" i="10"/>
  <c r="J98" i="10" s="1"/>
  <c r="N98" i="10"/>
  <c r="O98" i="10" s="1"/>
  <c r="G81" i="12" l="1"/>
  <c r="H81" i="12" s="1"/>
  <c r="L81" i="12"/>
  <c r="M81" i="12" s="1"/>
  <c r="G80" i="12"/>
  <c r="H80" i="12" s="1"/>
  <c r="L80" i="12"/>
  <c r="M80" i="12" s="1"/>
  <c r="N80" i="12" s="1"/>
  <c r="G139" i="11"/>
  <c r="H139" i="11" s="1"/>
  <c r="I139" i="11" s="1"/>
  <c r="L139" i="11"/>
  <c r="M139" i="11" s="1"/>
  <c r="G138" i="11"/>
  <c r="H138" i="11" s="1"/>
  <c r="L138" i="11"/>
  <c r="M138" i="11" s="1"/>
  <c r="N138" i="11" s="1"/>
  <c r="O138" i="11" s="1"/>
  <c r="G137" i="11"/>
  <c r="H137" i="11" s="1"/>
  <c r="L137" i="11"/>
  <c r="M137" i="11" s="1"/>
  <c r="N137" i="11" s="1"/>
  <c r="N81" i="12" l="1"/>
  <c r="O81" i="12" s="1"/>
  <c r="I81" i="12"/>
  <c r="J81" i="12" s="1"/>
  <c r="I80" i="12"/>
  <c r="J80" i="12" s="1"/>
  <c r="O80" i="12"/>
  <c r="N139" i="11"/>
  <c r="O139" i="11" s="1"/>
  <c r="J139" i="11"/>
  <c r="I138" i="11"/>
  <c r="J138" i="11"/>
  <c r="I137" i="11"/>
  <c r="J137" i="11" s="1"/>
  <c r="O137" i="11"/>
  <c r="G88" i="10" l="1"/>
  <c r="H88" i="10" s="1"/>
  <c r="L88" i="10"/>
  <c r="M88" i="10" s="1"/>
  <c r="N88" i="10" s="1"/>
  <c r="G87" i="10"/>
  <c r="H87" i="10" s="1"/>
  <c r="L87" i="10"/>
  <c r="M87" i="10" s="1"/>
  <c r="N87" i="10" s="1"/>
  <c r="G62" i="16"/>
  <c r="H62" i="16" s="1"/>
  <c r="L62" i="16"/>
  <c r="M62" i="16" s="1"/>
  <c r="N62" i="16" s="1"/>
  <c r="G61" i="16"/>
  <c r="H61" i="16" s="1"/>
  <c r="I61" i="16" s="1"/>
  <c r="J61" i="16" s="1"/>
  <c r="L61" i="16"/>
  <c r="M61" i="16" s="1"/>
  <c r="G60" i="16"/>
  <c r="H60" i="16" s="1"/>
  <c r="I60" i="16" s="1"/>
  <c r="J60" i="16" s="1"/>
  <c r="L60" i="16"/>
  <c r="M60" i="16" s="1"/>
  <c r="G59" i="16"/>
  <c r="H59" i="16" s="1"/>
  <c r="I59" i="16" s="1"/>
  <c r="L59" i="16"/>
  <c r="M59" i="16" s="1"/>
  <c r="N61" i="16" l="1"/>
  <c r="O61" i="16"/>
  <c r="I88" i="10"/>
  <c r="J88" i="10" s="1"/>
  <c r="O88" i="10"/>
  <c r="O87" i="10"/>
  <c r="I87" i="10"/>
  <c r="J87" i="10" s="1"/>
  <c r="I62" i="16"/>
  <c r="J62" i="16"/>
  <c r="O62" i="16"/>
  <c r="N60" i="16"/>
  <c r="O60" i="16" s="1"/>
  <c r="N59" i="16"/>
  <c r="O59" i="16" s="1"/>
  <c r="J59" i="16"/>
  <c r="G49" i="11" l="1"/>
  <c r="H49" i="11" s="1"/>
  <c r="L49" i="11"/>
  <c r="M49" i="11" s="1"/>
  <c r="G79" i="12"/>
  <c r="H79" i="12" s="1"/>
  <c r="L79" i="12"/>
  <c r="M79" i="12" s="1"/>
  <c r="N79" i="12" s="1"/>
  <c r="G68" i="11"/>
  <c r="H68" i="11" s="1"/>
  <c r="L68" i="11"/>
  <c r="M68" i="11" s="1"/>
  <c r="N68" i="11" s="1"/>
  <c r="N49" i="11" l="1"/>
  <c r="O49" i="11" s="1"/>
  <c r="I49" i="11"/>
  <c r="J49" i="11" s="1"/>
  <c r="O68" i="11"/>
  <c r="I79" i="12"/>
  <c r="J79" i="12"/>
  <c r="O79" i="12"/>
  <c r="I68" i="11"/>
  <c r="J68" i="11" s="1"/>
  <c r="G35" i="10" l="1"/>
  <c r="H35" i="10" s="1"/>
  <c r="L35" i="10"/>
  <c r="M35" i="10" s="1"/>
  <c r="N35" i="10" s="1"/>
  <c r="G34" i="10"/>
  <c r="H34" i="10" s="1"/>
  <c r="L34" i="10"/>
  <c r="M34" i="10" s="1"/>
  <c r="G33" i="10"/>
  <c r="H33" i="10" s="1"/>
  <c r="L33" i="10"/>
  <c r="M33" i="10" s="1"/>
  <c r="I35" i="10" l="1"/>
  <c r="J35" i="10" s="1"/>
  <c r="O35" i="10"/>
  <c r="N34" i="10"/>
  <c r="O34" i="10" s="1"/>
  <c r="I34" i="10"/>
  <c r="J34" i="10" s="1"/>
  <c r="N33" i="10"/>
  <c r="O33" i="10" s="1"/>
  <c r="I33" i="10"/>
  <c r="J33" i="10" s="1"/>
  <c r="G86" i="10" l="1"/>
  <c r="H86" i="10" s="1"/>
  <c r="I86" i="10" s="1"/>
  <c r="L86" i="10"/>
  <c r="M86" i="10" s="1"/>
  <c r="G67" i="11"/>
  <c r="H67" i="11" s="1"/>
  <c r="L67" i="11"/>
  <c r="M67" i="11" s="1"/>
  <c r="N67" i="11" s="1"/>
  <c r="N86" i="10" l="1"/>
  <c r="O86" i="10" s="1"/>
  <c r="J86" i="10"/>
  <c r="I67" i="11"/>
  <c r="J67" i="11" s="1"/>
  <c r="O67" i="11"/>
  <c r="G66" i="11" l="1"/>
  <c r="H66" i="11" s="1"/>
  <c r="L66" i="11"/>
  <c r="M66" i="11" s="1"/>
  <c r="N66" i="11" l="1"/>
  <c r="O66" i="11" s="1"/>
  <c r="I66" i="11"/>
  <c r="J66" i="11" s="1"/>
  <c r="G48" i="11" l="1"/>
  <c r="H48" i="11" s="1"/>
  <c r="L48" i="11"/>
  <c r="M48" i="11" s="1"/>
  <c r="G65" i="11"/>
  <c r="H65" i="11" s="1"/>
  <c r="L65" i="11"/>
  <c r="M65" i="11" s="1"/>
  <c r="G28" i="8"/>
  <c r="H28" i="8" s="1"/>
  <c r="L28" i="8"/>
  <c r="M28" i="8" s="1"/>
  <c r="N28" i="8" s="1"/>
  <c r="I48" i="11" l="1"/>
  <c r="J48" i="11" s="1"/>
  <c r="N48" i="11"/>
  <c r="O48" i="11" s="1"/>
  <c r="N65" i="11"/>
  <c r="O65" i="11" s="1"/>
  <c r="I65" i="11"/>
  <c r="J65" i="11" s="1"/>
  <c r="I28" i="8"/>
  <c r="J28" i="8" s="1"/>
  <c r="O28" i="8"/>
  <c r="G136" i="11" l="1"/>
  <c r="H136" i="11" s="1"/>
  <c r="L136" i="11"/>
  <c r="M136" i="11" s="1"/>
  <c r="N136" i="11" s="1"/>
  <c r="G135" i="11"/>
  <c r="H135" i="11" s="1"/>
  <c r="L135" i="11"/>
  <c r="M135" i="11" s="1"/>
  <c r="G134" i="11"/>
  <c r="H134" i="11" s="1"/>
  <c r="L134" i="11"/>
  <c r="M134" i="11" s="1"/>
  <c r="G133" i="11"/>
  <c r="H133" i="11" s="1"/>
  <c r="L133" i="11"/>
  <c r="M133" i="11" s="1"/>
  <c r="N133" i="11" s="1"/>
  <c r="G132" i="11"/>
  <c r="H132" i="11" s="1"/>
  <c r="L132" i="11"/>
  <c r="M132" i="11" s="1"/>
  <c r="G131" i="11"/>
  <c r="H131" i="11" s="1"/>
  <c r="L131" i="11"/>
  <c r="M131" i="11" s="1"/>
  <c r="N131" i="11" s="1"/>
  <c r="G130" i="11"/>
  <c r="H130" i="11" s="1"/>
  <c r="L130" i="11"/>
  <c r="M130" i="11" s="1"/>
  <c r="G129" i="11"/>
  <c r="H129" i="11" s="1"/>
  <c r="L129" i="11"/>
  <c r="M129" i="11" s="1"/>
  <c r="N129" i="11" s="1"/>
  <c r="G128" i="11"/>
  <c r="H128" i="11" s="1"/>
  <c r="L128" i="11"/>
  <c r="M128" i="11" s="1"/>
  <c r="G127" i="11"/>
  <c r="H127" i="11" s="1"/>
  <c r="I127" i="11" s="1"/>
  <c r="L127" i="11"/>
  <c r="M127" i="11" s="1"/>
  <c r="G126" i="11"/>
  <c r="H126" i="11" s="1"/>
  <c r="I126" i="11" s="1"/>
  <c r="L126" i="11"/>
  <c r="M126" i="11" s="1"/>
  <c r="N126" i="11" s="1"/>
  <c r="O126" i="11" s="1"/>
  <c r="G125" i="11"/>
  <c r="H125" i="11" s="1"/>
  <c r="L125" i="11"/>
  <c r="M125" i="11" s="1"/>
  <c r="N125" i="11" s="1"/>
  <c r="O125" i="11" s="1"/>
  <c r="G102" i="11"/>
  <c r="H102" i="11" s="1"/>
  <c r="L102" i="11"/>
  <c r="M102" i="11" s="1"/>
  <c r="N102" i="11" s="1"/>
  <c r="O102" i="11" s="1"/>
  <c r="G101" i="11"/>
  <c r="H101" i="11" s="1"/>
  <c r="L101" i="11"/>
  <c r="M101" i="11" s="1"/>
  <c r="G124" i="11"/>
  <c r="H124" i="11" s="1"/>
  <c r="L124" i="11"/>
  <c r="M124" i="11" s="1"/>
  <c r="N124" i="11" s="1"/>
  <c r="G123" i="11"/>
  <c r="H123" i="11" s="1"/>
  <c r="I123" i="11" s="1"/>
  <c r="L123" i="11"/>
  <c r="M123" i="11" s="1"/>
  <c r="G122" i="11"/>
  <c r="H122" i="11" s="1"/>
  <c r="L122" i="11"/>
  <c r="M122" i="11" s="1"/>
  <c r="I136" i="11" l="1"/>
  <c r="J136" i="11"/>
  <c r="O136" i="11"/>
  <c r="N135" i="11"/>
  <c r="O135" i="11" s="1"/>
  <c r="I135" i="11"/>
  <c r="J135" i="11" s="1"/>
  <c r="N132" i="11"/>
  <c r="O132" i="11" s="1"/>
  <c r="N134" i="11"/>
  <c r="O134" i="11" s="1"/>
  <c r="I134" i="11"/>
  <c r="J134" i="11" s="1"/>
  <c r="O133" i="11"/>
  <c r="I133" i="11"/>
  <c r="J133" i="11" s="1"/>
  <c r="N122" i="11"/>
  <c r="O122" i="11" s="1"/>
  <c r="N127" i="11"/>
  <c r="O127" i="11" s="1"/>
  <c r="I132" i="11"/>
  <c r="J132" i="11" s="1"/>
  <c r="I131" i="11"/>
  <c r="J131" i="11" s="1"/>
  <c r="O131" i="11"/>
  <c r="N130" i="11"/>
  <c r="O130" i="11" s="1"/>
  <c r="I130" i="11"/>
  <c r="J130" i="11" s="1"/>
  <c r="I129" i="11"/>
  <c r="J129" i="11" s="1"/>
  <c r="O129" i="11"/>
  <c r="I122" i="11"/>
  <c r="J122" i="11" s="1"/>
  <c r="J126" i="11"/>
  <c r="N128" i="11"/>
  <c r="O128" i="11" s="1"/>
  <c r="I128" i="11"/>
  <c r="J128" i="11" s="1"/>
  <c r="J127" i="11"/>
  <c r="I125" i="11"/>
  <c r="J125" i="11" s="1"/>
  <c r="I102" i="11"/>
  <c r="J102" i="11" s="1"/>
  <c r="I101" i="11"/>
  <c r="J101" i="11" s="1"/>
  <c r="N101" i="11"/>
  <c r="O101" i="11" s="1"/>
  <c r="N123" i="11"/>
  <c r="O123" i="11" s="1"/>
  <c r="I124" i="11"/>
  <c r="J124" i="11" s="1"/>
  <c r="O124" i="11"/>
  <c r="J123" i="11"/>
  <c r="G58" i="16" l="1"/>
  <c r="H58" i="16" s="1"/>
  <c r="L58" i="16"/>
  <c r="M58" i="16" s="1"/>
  <c r="N58" i="16" s="1"/>
  <c r="G85" i="11"/>
  <c r="H85" i="11" s="1"/>
  <c r="L85" i="11"/>
  <c r="M85" i="11" s="1"/>
  <c r="G47" i="11"/>
  <c r="H47" i="11" s="1"/>
  <c r="L47" i="11"/>
  <c r="M47" i="11" s="1"/>
  <c r="G78" i="12"/>
  <c r="H78" i="12" s="1"/>
  <c r="I78" i="12" s="1"/>
  <c r="L78" i="12"/>
  <c r="M78" i="12" s="1"/>
  <c r="G77" i="12"/>
  <c r="H77" i="12" s="1"/>
  <c r="L77" i="12"/>
  <c r="M77" i="12" s="1"/>
  <c r="N77" i="12" s="1"/>
  <c r="G76" i="12"/>
  <c r="H76" i="12" s="1"/>
  <c r="L76" i="12"/>
  <c r="M76" i="12" s="1"/>
  <c r="I58" i="16" l="1"/>
  <c r="J58" i="16" s="1"/>
  <c r="O58" i="16"/>
  <c r="N85" i="11"/>
  <c r="O85" i="11" s="1"/>
  <c r="I85" i="11"/>
  <c r="J85" i="11" s="1"/>
  <c r="N47" i="11"/>
  <c r="O47" i="11" s="1"/>
  <c r="I47" i="11"/>
  <c r="J47" i="11" s="1"/>
  <c r="N78" i="12"/>
  <c r="O78" i="12"/>
  <c r="J78" i="12"/>
  <c r="I77" i="12"/>
  <c r="J77" i="12" s="1"/>
  <c r="O77" i="12"/>
  <c r="I76" i="12"/>
  <c r="J76" i="12"/>
  <c r="N76" i="12"/>
  <c r="O76" i="12" s="1"/>
  <c r="G57" i="16" l="1"/>
  <c r="H57" i="16" s="1"/>
  <c r="L57" i="16"/>
  <c r="M57" i="16" s="1"/>
  <c r="N57" i="16" s="1"/>
  <c r="I57" i="16" l="1"/>
  <c r="J57" i="16" s="1"/>
  <c r="O57" i="16"/>
  <c r="G56" i="16"/>
  <c r="H56" i="16" s="1"/>
  <c r="I56" i="16" s="1"/>
  <c r="J56" i="16" s="1"/>
  <c r="L56" i="16"/>
  <c r="M56" i="16" s="1"/>
  <c r="N56" i="16" s="1"/>
  <c r="O56" i="16" s="1"/>
  <c r="G55" i="16"/>
  <c r="H55" i="16" s="1"/>
  <c r="L55" i="16"/>
  <c r="M55" i="16" s="1"/>
  <c r="G54" i="16"/>
  <c r="H54" i="16" s="1"/>
  <c r="L54" i="16"/>
  <c r="M54" i="16" s="1"/>
  <c r="N55" i="16" l="1"/>
  <c r="O55" i="16" s="1"/>
  <c r="I55" i="16"/>
  <c r="J55" i="16" s="1"/>
  <c r="N54" i="16"/>
  <c r="O54" i="16" s="1"/>
  <c r="I54" i="16"/>
  <c r="J54" i="16" s="1"/>
  <c r="G53" i="16" l="1"/>
  <c r="H53" i="16" s="1"/>
  <c r="L53" i="16"/>
  <c r="M53" i="16" s="1"/>
  <c r="N53" i="16" s="1"/>
  <c r="G97" i="10"/>
  <c r="H97" i="10" s="1"/>
  <c r="L97" i="10"/>
  <c r="M97" i="10" s="1"/>
  <c r="N97" i="10" s="1"/>
  <c r="G75" i="12"/>
  <c r="H75" i="12" s="1"/>
  <c r="L75" i="12"/>
  <c r="M75" i="12" s="1"/>
  <c r="N75" i="12" s="1"/>
  <c r="G74" i="12"/>
  <c r="H74" i="12" s="1"/>
  <c r="L74" i="12"/>
  <c r="M74" i="12" s="1"/>
  <c r="N74" i="12" s="1"/>
  <c r="O74" i="12" s="1"/>
  <c r="G73" i="12"/>
  <c r="H73" i="12" s="1"/>
  <c r="L73" i="12"/>
  <c r="M73" i="12" s="1"/>
  <c r="I53" i="16" l="1"/>
  <c r="J53" i="16" s="1"/>
  <c r="O53" i="16"/>
  <c r="I97" i="10"/>
  <c r="J97" i="10" s="1"/>
  <c r="O97" i="10"/>
  <c r="I75" i="12"/>
  <c r="J75" i="12" s="1"/>
  <c r="O75" i="12"/>
  <c r="I74" i="12"/>
  <c r="J74" i="12" s="1"/>
  <c r="N73" i="12"/>
  <c r="O73" i="12" s="1"/>
  <c r="I73" i="12"/>
  <c r="J73" i="12" s="1"/>
  <c r="G98" i="18" l="1"/>
  <c r="H98" i="18" s="1"/>
  <c r="K98" i="18"/>
  <c r="M98" i="18"/>
  <c r="N98" i="18" s="1"/>
  <c r="G97" i="18"/>
  <c r="H97" i="18" s="1"/>
  <c r="K97" i="18"/>
  <c r="M97" i="18"/>
  <c r="N97" i="18" s="1"/>
  <c r="G52" i="16"/>
  <c r="H52" i="16" s="1"/>
  <c r="L52" i="16"/>
  <c r="M52" i="16" s="1"/>
  <c r="N52" i="16" s="1"/>
  <c r="O52" i="16" s="1"/>
  <c r="G96" i="18"/>
  <c r="H96" i="18" s="1"/>
  <c r="I96" i="18" s="1"/>
  <c r="K96" i="18"/>
  <c r="M96" i="18"/>
  <c r="N96" i="18" s="1"/>
  <c r="G95" i="18"/>
  <c r="H95" i="18" s="1"/>
  <c r="K95" i="18"/>
  <c r="M95" i="18"/>
  <c r="N95" i="18" s="1"/>
  <c r="G94" i="18"/>
  <c r="H94" i="18" s="1"/>
  <c r="I94" i="18" s="1"/>
  <c r="K94" i="18"/>
  <c r="M94" i="18"/>
  <c r="N94" i="18" s="1"/>
  <c r="G93" i="18"/>
  <c r="H93" i="18" s="1"/>
  <c r="K93" i="18"/>
  <c r="M93" i="18"/>
  <c r="N93" i="18" s="1"/>
  <c r="K92" i="18"/>
  <c r="I98" i="18" l="1"/>
  <c r="J98" i="18" s="1"/>
  <c r="O98" i="18"/>
  <c r="P98" i="18" s="1"/>
  <c r="O97" i="18"/>
  <c r="P97" i="18" s="1"/>
  <c r="I97" i="18"/>
  <c r="J97" i="18" s="1"/>
  <c r="O96" i="18"/>
  <c r="P96" i="18" s="1"/>
  <c r="I52" i="16"/>
  <c r="J52" i="16" s="1"/>
  <c r="J96" i="18"/>
  <c r="O95" i="18"/>
  <c r="P95" i="18" s="1"/>
  <c r="I95" i="18"/>
  <c r="J95" i="18" s="1"/>
  <c r="O94" i="18"/>
  <c r="P94" i="18" s="1"/>
  <c r="J94" i="18"/>
  <c r="O93" i="18"/>
  <c r="P93" i="18" s="1"/>
  <c r="I93" i="18"/>
  <c r="J93" i="18" s="1"/>
  <c r="G137" i="10" l="1"/>
  <c r="H137" i="10" s="1"/>
  <c r="L137" i="10"/>
  <c r="M137" i="10" s="1"/>
  <c r="N137" i="10" s="1"/>
  <c r="G134" i="10"/>
  <c r="H134" i="10" s="1"/>
  <c r="L134" i="10"/>
  <c r="M134" i="10" s="1"/>
  <c r="I137" i="10" l="1"/>
  <c r="J137" i="10" s="1"/>
  <c r="O137" i="10"/>
  <c r="N134" i="10"/>
  <c r="O134" i="10" s="1"/>
  <c r="I134" i="10"/>
  <c r="J134" i="10" s="1"/>
  <c r="G155" i="10" l="1"/>
  <c r="H155" i="10" s="1"/>
  <c r="L155" i="10"/>
  <c r="M155" i="10" s="1"/>
  <c r="N155" i="10" s="1"/>
  <c r="L160" i="10"/>
  <c r="M160" i="10" s="1"/>
  <c r="G160" i="10"/>
  <c r="H160" i="10" s="1"/>
  <c r="G154" i="10"/>
  <c r="H154" i="10" s="1"/>
  <c r="L154" i="10"/>
  <c r="M154" i="10" s="1"/>
  <c r="N154" i="10" s="1"/>
  <c r="G158" i="10"/>
  <c r="H158" i="10" s="1"/>
  <c r="L158" i="10"/>
  <c r="M158" i="10" s="1"/>
  <c r="N158" i="10" s="1"/>
  <c r="L157" i="10"/>
  <c r="M157" i="10" s="1"/>
  <c r="G157" i="10"/>
  <c r="H157" i="10" s="1"/>
  <c r="G46" i="11"/>
  <c r="H46" i="11" s="1"/>
  <c r="L46" i="11"/>
  <c r="M46" i="11" s="1"/>
  <c r="N46" i="11" s="1"/>
  <c r="G90" i="11"/>
  <c r="H90" i="11" s="1"/>
  <c r="L90" i="11"/>
  <c r="M90" i="11" s="1"/>
  <c r="G89" i="11"/>
  <c r="H89" i="11" s="1"/>
  <c r="I89" i="11" s="1"/>
  <c r="L89" i="11"/>
  <c r="M89" i="11" s="1"/>
  <c r="G91" i="11"/>
  <c r="H91" i="11" s="1"/>
  <c r="L91" i="11"/>
  <c r="M91" i="11" s="1"/>
  <c r="G92" i="11"/>
  <c r="H92" i="11" s="1"/>
  <c r="I92" i="11" s="1"/>
  <c r="J92" i="11" s="1"/>
  <c r="L92" i="11"/>
  <c r="M92" i="11" s="1"/>
  <c r="N92" i="11" s="1"/>
  <c r="O92" i="11" s="1"/>
  <c r="G45" i="11"/>
  <c r="H45" i="11" s="1"/>
  <c r="I45" i="11" s="1"/>
  <c r="L45" i="11"/>
  <c r="M45" i="11" s="1"/>
  <c r="N45" i="11" s="1"/>
  <c r="G72" i="12"/>
  <c r="H72" i="12" s="1"/>
  <c r="L72" i="12"/>
  <c r="M72" i="12" s="1"/>
  <c r="G44" i="11"/>
  <c r="H44" i="11" s="1"/>
  <c r="L44" i="11"/>
  <c r="M44" i="11" s="1"/>
  <c r="G43" i="11"/>
  <c r="H43" i="11" s="1"/>
  <c r="I43" i="11" s="1"/>
  <c r="L43" i="11"/>
  <c r="M43" i="11" s="1"/>
  <c r="N43" i="11" s="1"/>
  <c r="G42" i="11"/>
  <c r="H42" i="11" s="1"/>
  <c r="I42" i="11" s="1"/>
  <c r="J42" i="11" s="1"/>
  <c r="L42" i="11"/>
  <c r="M42" i="11" s="1"/>
  <c r="N42" i="11" s="1"/>
  <c r="O42" i="11" s="1"/>
  <c r="G142" i="10"/>
  <c r="H142" i="10" s="1"/>
  <c r="L142" i="10"/>
  <c r="M142" i="10" s="1"/>
  <c r="N91" i="11" l="1"/>
  <c r="O91" i="11" s="1"/>
  <c r="I155" i="10"/>
  <c r="J155" i="10" s="1"/>
  <c r="O155" i="10"/>
  <c r="I160" i="10"/>
  <c r="J160" i="10" s="1"/>
  <c r="N160" i="10"/>
  <c r="O160" i="10" s="1"/>
  <c r="I154" i="10"/>
  <c r="J154" i="10" s="1"/>
  <c r="O154" i="10"/>
  <c r="O158" i="10"/>
  <c r="I158" i="10"/>
  <c r="J158" i="10" s="1"/>
  <c r="I157" i="10"/>
  <c r="J157" i="10" s="1"/>
  <c r="N157" i="10"/>
  <c r="O157" i="10" s="1"/>
  <c r="O46" i="11"/>
  <c r="I46" i="11"/>
  <c r="J46" i="11" s="1"/>
  <c r="N90" i="11"/>
  <c r="O90" i="11" s="1"/>
  <c r="I90" i="11"/>
  <c r="J90" i="11" s="1"/>
  <c r="I91" i="11"/>
  <c r="J91" i="11" s="1"/>
  <c r="N89" i="11"/>
  <c r="O89" i="11" s="1"/>
  <c r="J89" i="11"/>
  <c r="J45" i="11"/>
  <c r="O45" i="11"/>
  <c r="I72" i="12"/>
  <c r="J72" i="12" s="1"/>
  <c r="N72" i="12"/>
  <c r="O72" i="12" s="1"/>
  <c r="N44" i="11"/>
  <c r="O44" i="11" s="1"/>
  <c r="I44" i="11"/>
  <c r="J44" i="11" s="1"/>
  <c r="J43" i="11"/>
  <c r="O43" i="11"/>
  <c r="I142" i="10"/>
  <c r="J142" i="10" s="1"/>
  <c r="N142" i="10"/>
  <c r="O142" i="10" s="1"/>
  <c r="G153" i="11" l="1"/>
  <c r="H153" i="11" s="1"/>
  <c r="L153" i="11"/>
  <c r="M153" i="11" s="1"/>
  <c r="N153" i="11" s="1"/>
  <c r="O153" i="11" s="1"/>
  <c r="G152" i="11"/>
  <c r="H152" i="11" s="1"/>
  <c r="I152" i="11" s="1"/>
  <c r="L152" i="11"/>
  <c r="M152" i="11" s="1"/>
  <c r="G151" i="11"/>
  <c r="H151" i="11" s="1"/>
  <c r="L151" i="11"/>
  <c r="M151" i="11" s="1"/>
  <c r="N151" i="11" s="1"/>
  <c r="G150" i="11"/>
  <c r="H150" i="11" s="1"/>
  <c r="L150" i="11"/>
  <c r="M150" i="11" s="1"/>
  <c r="N150" i="11" s="1"/>
  <c r="G149" i="11"/>
  <c r="H149" i="11" s="1"/>
  <c r="I149" i="11" s="1"/>
  <c r="J149" i="11" s="1"/>
  <c r="L149" i="11"/>
  <c r="M149" i="11" s="1"/>
  <c r="G148" i="11"/>
  <c r="H148" i="11" s="1"/>
  <c r="I148" i="11" s="1"/>
  <c r="J148" i="11" s="1"/>
  <c r="L148" i="11"/>
  <c r="M148" i="11" s="1"/>
  <c r="G147" i="11"/>
  <c r="H147" i="11" s="1"/>
  <c r="L147" i="11"/>
  <c r="M147" i="11" s="1"/>
  <c r="G146" i="11"/>
  <c r="H146" i="11" s="1"/>
  <c r="L146" i="11"/>
  <c r="M146" i="11" s="1"/>
  <c r="N146" i="11" s="1"/>
  <c r="G145" i="11"/>
  <c r="H145" i="11" s="1"/>
  <c r="L145" i="11"/>
  <c r="M145" i="11" s="1"/>
  <c r="N145" i="11" s="1"/>
  <c r="G144" i="11"/>
  <c r="H144" i="11" s="1"/>
  <c r="L144" i="11"/>
  <c r="M144" i="11" s="1"/>
  <c r="N144" i="11" s="1"/>
  <c r="G143" i="11"/>
  <c r="H143" i="11" s="1"/>
  <c r="I143" i="11" s="1"/>
  <c r="L143" i="11"/>
  <c r="M143" i="11" s="1"/>
  <c r="N152" i="11" l="1"/>
  <c r="O152" i="11" s="1"/>
  <c r="J152" i="11"/>
  <c r="I153" i="11"/>
  <c r="J153" i="11" s="1"/>
  <c r="I151" i="11"/>
  <c r="J151" i="11" s="1"/>
  <c r="O151" i="11"/>
  <c r="I150" i="11"/>
  <c r="J150" i="11" s="1"/>
  <c r="O150" i="11"/>
  <c r="N149" i="11"/>
  <c r="O149" i="11" s="1"/>
  <c r="N148" i="11"/>
  <c r="O148" i="11" s="1"/>
  <c r="N147" i="11"/>
  <c r="O147" i="11" s="1"/>
  <c r="I147" i="11"/>
  <c r="J147" i="11" s="1"/>
  <c r="I146" i="11"/>
  <c r="J146" i="11" s="1"/>
  <c r="O146" i="11"/>
  <c r="I145" i="11"/>
  <c r="J145" i="11" s="1"/>
  <c r="O145" i="11"/>
  <c r="I144" i="11"/>
  <c r="J144" i="11" s="1"/>
  <c r="O144" i="11"/>
  <c r="N143" i="11"/>
  <c r="O143" i="11" s="1"/>
  <c r="J143" i="11"/>
  <c r="G142" i="11" l="1"/>
  <c r="H142" i="11" s="1"/>
  <c r="I142" i="11" s="1"/>
  <c r="L142" i="11"/>
  <c r="M142" i="11" s="1"/>
  <c r="N142" i="11" l="1"/>
  <c r="O142" i="11" s="1"/>
  <c r="J142" i="11"/>
  <c r="G71" i="12"/>
  <c r="H71" i="12" s="1"/>
  <c r="L71" i="12"/>
  <c r="M71" i="12" s="1"/>
  <c r="I71" i="12" l="1"/>
  <c r="J71" i="12"/>
  <c r="N71" i="12"/>
  <c r="O71" i="12"/>
  <c r="G112" i="10" l="1"/>
  <c r="H112" i="10" s="1"/>
  <c r="I112" i="10" s="1"/>
  <c r="L112" i="10"/>
  <c r="M112" i="10" s="1"/>
  <c r="G94" i="11"/>
  <c r="H94" i="11" s="1"/>
  <c r="I94" i="11" s="1"/>
  <c r="L94" i="11"/>
  <c r="M94" i="11" s="1"/>
  <c r="N94" i="11" s="1"/>
  <c r="G93" i="11"/>
  <c r="H93" i="11" s="1"/>
  <c r="L93" i="11"/>
  <c r="M93" i="11" s="1"/>
  <c r="N112" i="10" l="1"/>
  <c r="O112" i="10" s="1"/>
  <c r="J112" i="10"/>
  <c r="J94" i="11"/>
  <c r="O94" i="11"/>
  <c r="N93" i="11"/>
  <c r="O93" i="11" s="1"/>
  <c r="I93" i="11"/>
  <c r="J93" i="11" s="1"/>
  <c r="G43" i="10" l="1"/>
  <c r="H43" i="10" s="1"/>
  <c r="L43" i="10"/>
  <c r="M43" i="10" s="1"/>
  <c r="N43" i="10" s="1"/>
  <c r="G32" i="10"/>
  <c r="H32" i="10" s="1"/>
  <c r="L32" i="10"/>
  <c r="M32" i="10" s="1"/>
  <c r="N32" i="10" s="1"/>
  <c r="O32" i="10" s="1"/>
  <c r="G31" i="10"/>
  <c r="H31" i="10" s="1"/>
  <c r="I31" i="10" s="1"/>
  <c r="J31" i="10" s="1"/>
  <c r="L31" i="10"/>
  <c r="M31" i="10" s="1"/>
  <c r="N31" i="10" s="1"/>
  <c r="G41" i="11"/>
  <c r="H41" i="11" s="1"/>
  <c r="L41" i="11"/>
  <c r="M41" i="11" s="1"/>
  <c r="N41" i="11" s="1"/>
  <c r="G40" i="11"/>
  <c r="H40" i="11" s="1"/>
  <c r="I40" i="11" s="1"/>
  <c r="L40" i="11"/>
  <c r="M40" i="11" s="1"/>
  <c r="N40" i="11" s="1"/>
  <c r="G39" i="11"/>
  <c r="H39" i="11" s="1"/>
  <c r="I39" i="11" s="1"/>
  <c r="L39" i="11"/>
  <c r="M39" i="11" s="1"/>
  <c r="N39" i="11" s="1"/>
  <c r="O39" i="11" s="1"/>
  <c r="G38" i="11"/>
  <c r="H38" i="11" s="1"/>
  <c r="L38" i="11"/>
  <c r="M38" i="11" s="1"/>
  <c r="N38" i="11" s="1"/>
  <c r="O38" i="11" s="1"/>
  <c r="G64" i="11"/>
  <c r="H64" i="11" s="1"/>
  <c r="L64" i="11"/>
  <c r="M64" i="11" s="1"/>
  <c r="G150" i="10"/>
  <c r="H150" i="10" s="1"/>
  <c r="L150" i="10"/>
  <c r="M150" i="10" s="1"/>
  <c r="G153" i="10"/>
  <c r="H153" i="10" s="1"/>
  <c r="I153" i="10" s="1"/>
  <c r="L153" i="10"/>
  <c r="M153" i="10" s="1"/>
  <c r="N153" i="10" s="1"/>
  <c r="L152" i="10"/>
  <c r="M152" i="10" s="1"/>
  <c r="G152" i="10"/>
  <c r="H152" i="10" s="1"/>
  <c r="I43" i="10" l="1"/>
  <c r="J43" i="10" s="1"/>
  <c r="O43" i="10"/>
  <c r="I32" i="10"/>
  <c r="J32" i="10" s="1"/>
  <c r="O31" i="10"/>
  <c r="I41" i="11"/>
  <c r="J41" i="11" s="1"/>
  <c r="O41" i="11"/>
  <c r="J40" i="11"/>
  <c r="O40" i="11"/>
  <c r="J39" i="11"/>
  <c r="I38" i="11"/>
  <c r="J38" i="11" s="1"/>
  <c r="N64" i="11"/>
  <c r="O64" i="11" s="1"/>
  <c r="I64" i="11"/>
  <c r="J64" i="11" s="1"/>
  <c r="N150" i="10"/>
  <c r="O150" i="10" s="1"/>
  <c r="I150" i="10"/>
  <c r="J150" i="10" s="1"/>
  <c r="O153" i="10"/>
  <c r="J153" i="10"/>
  <c r="I152" i="10"/>
  <c r="J152" i="10" s="1"/>
  <c r="N152" i="10"/>
  <c r="O152" i="10" s="1"/>
  <c r="G85" i="10" l="1"/>
  <c r="H85" i="10" s="1"/>
  <c r="L85" i="10"/>
  <c r="M85" i="10" s="1"/>
  <c r="G70" i="12"/>
  <c r="H70" i="12" s="1"/>
  <c r="L70" i="12"/>
  <c r="M70" i="12" s="1"/>
  <c r="G69" i="12"/>
  <c r="H69" i="12" s="1"/>
  <c r="L69" i="12"/>
  <c r="M69" i="12" s="1"/>
  <c r="N69" i="12" s="1"/>
  <c r="G68" i="12"/>
  <c r="H68" i="12" s="1"/>
  <c r="L68" i="12"/>
  <c r="M68" i="12" s="1"/>
  <c r="G84" i="11"/>
  <c r="H84" i="11" s="1"/>
  <c r="L84" i="11"/>
  <c r="M84" i="11" s="1"/>
  <c r="G83" i="11"/>
  <c r="H83" i="11" s="1"/>
  <c r="L83" i="11"/>
  <c r="M83" i="11" s="1"/>
  <c r="N83" i="11" s="1"/>
  <c r="O83" i="11" s="1"/>
  <c r="G67" i="12"/>
  <c r="H67" i="12" s="1"/>
  <c r="L67" i="12"/>
  <c r="M67" i="12" s="1"/>
  <c r="G26" i="10"/>
  <c r="H26" i="10" s="1"/>
  <c r="I26" i="10" s="1"/>
  <c r="L26" i="10"/>
  <c r="M26" i="10" s="1"/>
  <c r="L25" i="10"/>
  <c r="M25" i="10" s="1"/>
  <c r="G25" i="10"/>
  <c r="H25" i="10" s="1"/>
  <c r="N85" i="10" l="1"/>
  <c r="O85" i="10" s="1"/>
  <c r="I85" i="10"/>
  <c r="J85" i="10" s="1"/>
  <c r="N26" i="10"/>
  <c r="O26" i="10" s="1"/>
  <c r="I70" i="12"/>
  <c r="J70" i="12" s="1"/>
  <c r="N70" i="12"/>
  <c r="O70" i="12" s="1"/>
  <c r="I69" i="12"/>
  <c r="J69" i="12" s="1"/>
  <c r="O69" i="12"/>
  <c r="I68" i="12"/>
  <c r="J68" i="12" s="1"/>
  <c r="N68" i="12"/>
  <c r="O68" i="12" s="1"/>
  <c r="N84" i="11"/>
  <c r="O84" i="11" s="1"/>
  <c r="I84" i="11"/>
  <c r="J84" i="11" s="1"/>
  <c r="I83" i="11"/>
  <c r="J83" i="11" s="1"/>
  <c r="N67" i="12"/>
  <c r="O67" i="12"/>
  <c r="I67" i="12"/>
  <c r="J67" i="12" s="1"/>
  <c r="J26" i="10"/>
  <c r="I25" i="10"/>
  <c r="J25" i="10" s="1"/>
  <c r="N25" i="10"/>
  <c r="O25" i="10" s="1"/>
  <c r="G92" i="18" l="1"/>
  <c r="H92" i="18" s="1"/>
  <c r="I92" i="18" s="1"/>
  <c r="M92" i="18"/>
  <c r="N92" i="18" s="1"/>
  <c r="O92" i="18" s="1"/>
  <c r="M91" i="18"/>
  <c r="N91" i="18" s="1"/>
  <c r="G91" i="18"/>
  <c r="H91" i="18" s="1"/>
  <c r="G51" i="10"/>
  <c r="H51" i="10" s="1"/>
  <c r="L51" i="10"/>
  <c r="M51" i="10" s="1"/>
  <c r="J92" i="18" l="1"/>
  <c r="I51" i="10"/>
  <c r="J51" i="10" s="1"/>
  <c r="P92" i="18"/>
  <c r="I91" i="18"/>
  <c r="J91" i="18" s="1"/>
  <c r="O91" i="18"/>
  <c r="P91" i="18" s="1"/>
  <c r="N51" i="10"/>
  <c r="O51" i="10" s="1"/>
  <c r="G50" i="10" l="1"/>
  <c r="H50" i="10" s="1"/>
  <c r="L50" i="10"/>
  <c r="M50" i="10" s="1"/>
  <c r="N50" i="10" s="1"/>
  <c r="O50" i="10" s="1"/>
  <c r="G66" i="12"/>
  <c r="H66" i="12" s="1"/>
  <c r="L66" i="12"/>
  <c r="M66" i="12" s="1"/>
  <c r="G82" i="11"/>
  <c r="H82" i="11" s="1"/>
  <c r="L82" i="11"/>
  <c r="M82" i="11" s="1"/>
  <c r="N82" i="11" s="1"/>
  <c r="O82" i="11" s="1"/>
  <c r="G81" i="11"/>
  <c r="H81" i="11" s="1"/>
  <c r="L81" i="11"/>
  <c r="M81" i="11" s="1"/>
  <c r="G90" i="18"/>
  <c r="H90" i="18" s="1"/>
  <c r="M90" i="18"/>
  <c r="N90" i="18" s="1"/>
  <c r="O90" i="18" s="1"/>
  <c r="G129" i="18"/>
  <c r="H129" i="18" s="1"/>
  <c r="M129" i="18"/>
  <c r="N129" i="18" s="1"/>
  <c r="G89" i="18"/>
  <c r="H89" i="18" s="1"/>
  <c r="M89" i="18"/>
  <c r="N89" i="18" s="1"/>
  <c r="O89" i="18" s="1"/>
  <c r="G84" i="10"/>
  <c r="H84" i="10" s="1"/>
  <c r="I84" i="10" s="1"/>
  <c r="L84" i="10"/>
  <c r="M84" i="10" s="1"/>
  <c r="N84" i="10" s="1"/>
  <c r="G83" i="10"/>
  <c r="H83" i="10" s="1"/>
  <c r="L83" i="10"/>
  <c r="M83" i="10" s="1"/>
  <c r="G82" i="10"/>
  <c r="H82" i="10" s="1"/>
  <c r="L82" i="10"/>
  <c r="M82" i="10" s="1"/>
  <c r="G30" i="10"/>
  <c r="H30" i="10" s="1"/>
  <c r="L30" i="10"/>
  <c r="M30" i="10" s="1"/>
  <c r="N30" i="10" s="1"/>
  <c r="G37" i="11"/>
  <c r="H37" i="11" s="1"/>
  <c r="L37" i="11"/>
  <c r="M37" i="11" s="1"/>
  <c r="I50" i="10" l="1"/>
  <c r="J50" i="10" s="1"/>
  <c r="N66" i="12"/>
  <c r="O66" i="12" s="1"/>
  <c r="I66" i="12"/>
  <c r="J66" i="12"/>
  <c r="I82" i="11"/>
  <c r="J82" i="11" s="1"/>
  <c r="N81" i="11"/>
  <c r="O81" i="11" s="1"/>
  <c r="I81" i="11"/>
  <c r="J81" i="11" s="1"/>
  <c r="P90" i="18"/>
  <c r="I90" i="18"/>
  <c r="J90" i="18"/>
  <c r="I129" i="18"/>
  <c r="J129" i="18" s="1"/>
  <c r="O129" i="18"/>
  <c r="P129" i="18" s="1"/>
  <c r="I89" i="18"/>
  <c r="J89" i="18" s="1"/>
  <c r="P89" i="18"/>
  <c r="J84" i="10"/>
  <c r="O84" i="10"/>
  <c r="N83" i="10"/>
  <c r="O83" i="10" s="1"/>
  <c r="I83" i="10"/>
  <c r="J83" i="10" s="1"/>
  <c r="N82" i="10"/>
  <c r="O82" i="10" s="1"/>
  <c r="I82" i="10"/>
  <c r="J82" i="10" s="1"/>
  <c r="I30" i="10"/>
  <c r="J30" i="10" s="1"/>
  <c r="O30" i="10"/>
  <c r="N37" i="11"/>
  <c r="O37" i="11" s="1"/>
  <c r="I37" i="11"/>
  <c r="J37" i="11" s="1"/>
  <c r="G51" i="16" l="1"/>
  <c r="H51" i="16" s="1"/>
  <c r="L51" i="16"/>
  <c r="M51" i="16" s="1"/>
  <c r="G50" i="16"/>
  <c r="H50" i="16" s="1"/>
  <c r="L50" i="16"/>
  <c r="M50" i="16" s="1"/>
  <c r="G49" i="16"/>
  <c r="H49" i="16" s="1"/>
  <c r="L49" i="16"/>
  <c r="M49" i="16" s="1"/>
  <c r="G48" i="16"/>
  <c r="H48" i="16" s="1"/>
  <c r="L48" i="16"/>
  <c r="M48" i="16" s="1"/>
  <c r="G65" i="12"/>
  <c r="H65" i="12" s="1"/>
  <c r="L65" i="12"/>
  <c r="M65" i="12" s="1"/>
  <c r="I65" i="12" l="1"/>
  <c r="J65" i="12" s="1"/>
  <c r="N51" i="16"/>
  <c r="O51" i="16" s="1"/>
  <c r="I51" i="16"/>
  <c r="J51" i="16" s="1"/>
  <c r="N50" i="16"/>
  <c r="O50" i="16" s="1"/>
  <c r="I50" i="16"/>
  <c r="J50" i="16" s="1"/>
  <c r="N49" i="16"/>
  <c r="O49" i="16" s="1"/>
  <c r="I49" i="16"/>
  <c r="J49" i="16" s="1"/>
  <c r="N48" i="16"/>
  <c r="O48" i="16" s="1"/>
  <c r="I48" i="16"/>
  <c r="J48" i="16" s="1"/>
  <c r="N65" i="12"/>
  <c r="O65" i="12" s="1"/>
  <c r="G29" i="10" l="1"/>
  <c r="H29" i="10" s="1"/>
  <c r="L29" i="10"/>
  <c r="M29" i="10" s="1"/>
  <c r="N29" i="10" s="1"/>
  <c r="G28" i="10"/>
  <c r="H28" i="10" s="1"/>
  <c r="L28" i="10"/>
  <c r="M28" i="10" s="1"/>
  <c r="G27" i="10"/>
  <c r="H27" i="10" s="1"/>
  <c r="L27" i="10"/>
  <c r="M27" i="10" s="1"/>
  <c r="N27" i="10" s="1"/>
  <c r="I29" i="10" l="1"/>
  <c r="J29" i="10" s="1"/>
  <c r="O29" i="10"/>
  <c r="I28" i="10"/>
  <c r="J28" i="10" s="1"/>
  <c r="N28" i="10"/>
  <c r="O28" i="10" s="1"/>
  <c r="I27" i="10"/>
  <c r="J27" i="10" s="1"/>
  <c r="O27" i="10"/>
  <c r="G88" i="18" l="1"/>
  <c r="H88" i="18" s="1"/>
  <c r="I88" i="18" s="1"/>
  <c r="M88" i="18"/>
  <c r="N88" i="18" s="1"/>
  <c r="O88" i="18" s="1"/>
  <c r="P88" i="18" s="1"/>
  <c r="J88" i="18" l="1"/>
  <c r="G128" i="10"/>
  <c r="H128" i="10" s="1"/>
  <c r="L128" i="10"/>
  <c r="M128" i="10" s="1"/>
  <c r="N128" i="10" s="1"/>
  <c r="I128" i="10" l="1"/>
  <c r="J128" i="10" s="1"/>
  <c r="O128" i="10"/>
  <c r="G47" i="16" l="1"/>
  <c r="H47" i="16" s="1"/>
  <c r="L47" i="16"/>
  <c r="M47" i="16" s="1"/>
  <c r="G46" i="16"/>
  <c r="H46" i="16" s="1"/>
  <c r="L46" i="16"/>
  <c r="M46" i="16" s="1"/>
  <c r="G45" i="16"/>
  <c r="H45" i="16" s="1"/>
  <c r="L45" i="16"/>
  <c r="M45" i="16" s="1"/>
  <c r="G64" i="12"/>
  <c r="H64" i="12" s="1"/>
  <c r="I64" i="12" s="1"/>
  <c r="L64" i="12"/>
  <c r="M64" i="12" s="1"/>
  <c r="G81" i="10"/>
  <c r="H81" i="10" s="1"/>
  <c r="L81" i="10"/>
  <c r="M81" i="10" s="1"/>
  <c r="N81" i="10" s="1"/>
  <c r="G63" i="12"/>
  <c r="H63" i="12" s="1"/>
  <c r="L63" i="12"/>
  <c r="M63" i="12" s="1"/>
  <c r="G87" i="18"/>
  <c r="H87" i="18" s="1"/>
  <c r="M87" i="18"/>
  <c r="N87" i="18" s="1"/>
  <c r="G86" i="18"/>
  <c r="H86" i="18" s="1"/>
  <c r="I86" i="18" s="1"/>
  <c r="M86" i="18"/>
  <c r="N86" i="18" s="1"/>
  <c r="O86" i="18" s="1"/>
  <c r="P86" i="18" s="1"/>
  <c r="G56" i="10"/>
  <c r="H56" i="10" s="1"/>
  <c r="L56" i="10"/>
  <c r="M56" i="10" s="1"/>
  <c r="G55" i="10"/>
  <c r="H55" i="10" s="1"/>
  <c r="L55" i="10"/>
  <c r="M55" i="10" s="1"/>
  <c r="N55" i="10" s="1"/>
  <c r="L52" i="10"/>
  <c r="M52" i="10" s="1"/>
  <c r="L53" i="10"/>
  <c r="M53" i="10" s="1"/>
  <c r="L54" i="10"/>
  <c r="M54" i="10" s="1"/>
  <c r="G54" i="10"/>
  <c r="H54" i="10" s="1"/>
  <c r="G49" i="10"/>
  <c r="H49" i="10" s="1"/>
  <c r="L49" i="10"/>
  <c r="M49" i="10" s="1"/>
  <c r="N49" i="10" s="1"/>
  <c r="G48" i="10"/>
  <c r="H48" i="10" s="1"/>
  <c r="L48" i="10"/>
  <c r="M48" i="10" s="1"/>
  <c r="G47" i="10"/>
  <c r="H47" i="10" s="1"/>
  <c r="L47" i="10"/>
  <c r="M47" i="10" s="1"/>
  <c r="G46" i="10"/>
  <c r="H46" i="10" s="1"/>
  <c r="L46" i="10"/>
  <c r="M46" i="10" s="1"/>
  <c r="G45" i="10"/>
  <c r="H45" i="10" s="1"/>
  <c r="I45" i="10" s="1"/>
  <c r="J45" i="10" s="1"/>
  <c r="L45" i="10"/>
  <c r="M45" i="10" s="1"/>
  <c r="N45" i="10" s="1"/>
  <c r="G62" i="12"/>
  <c r="H62" i="12" s="1"/>
  <c r="L62" i="12"/>
  <c r="M62" i="12" s="1"/>
  <c r="N62" i="12" s="1"/>
  <c r="G24" i="10"/>
  <c r="H24" i="10" s="1"/>
  <c r="I24" i="10" s="1"/>
  <c r="J24" i="10" s="1"/>
  <c r="L24" i="10"/>
  <c r="M24" i="10" s="1"/>
  <c r="N24" i="10" s="1"/>
  <c r="N52" i="10" l="1"/>
  <c r="O52" i="10" s="1"/>
  <c r="N47" i="16"/>
  <c r="O47" i="16" s="1"/>
  <c r="I47" i="16"/>
  <c r="J47" i="16" s="1"/>
  <c r="N46" i="16"/>
  <c r="O46" i="16" s="1"/>
  <c r="I46" i="16"/>
  <c r="J46" i="16" s="1"/>
  <c r="N45" i="16"/>
  <c r="O45" i="16" s="1"/>
  <c r="I45" i="16"/>
  <c r="J45" i="16" s="1"/>
  <c r="N64" i="12"/>
  <c r="O64" i="12" s="1"/>
  <c r="J64" i="12"/>
  <c r="I81" i="10"/>
  <c r="J81" i="10" s="1"/>
  <c r="O81" i="10"/>
  <c r="N63" i="12"/>
  <c r="O63" i="12" s="1"/>
  <c r="I63" i="12"/>
  <c r="J63" i="12" s="1"/>
  <c r="I55" i="10"/>
  <c r="J55" i="10" s="1"/>
  <c r="O87" i="18"/>
  <c r="P87" i="18" s="1"/>
  <c r="I87" i="18"/>
  <c r="J87" i="18" s="1"/>
  <c r="J86" i="18"/>
  <c r="I56" i="10"/>
  <c r="J56" i="10" s="1"/>
  <c r="N56" i="10"/>
  <c r="O56" i="10" s="1"/>
  <c r="O55" i="10"/>
  <c r="N54" i="10"/>
  <c r="O54" i="10" s="1"/>
  <c r="N53" i="10"/>
  <c r="O53" i="10" s="1"/>
  <c r="I54" i="10"/>
  <c r="J54" i="10" s="1"/>
  <c r="I49" i="10"/>
  <c r="J49" i="10" s="1"/>
  <c r="O49" i="10"/>
  <c r="N48" i="10"/>
  <c r="O48" i="10" s="1"/>
  <c r="I48" i="10"/>
  <c r="J48" i="10" s="1"/>
  <c r="N47" i="10"/>
  <c r="O47" i="10" s="1"/>
  <c r="I47" i="10"/>
  <c r="J47" i="10" s="1"/>
  <c r="I46" i="10"/>
  <c r="J46" i="10" s="1"/>
  <c r="N46" i="10"/>
  <c r="O46" i="10" s="1"/>
  <c r="O45" i="10"/>
  <c r="I62" i="12"/>
  <c r="J62" i="12" s="1"/>
  <c r="O62" i="12"/>
  <c r="O24" i="10"/>
  <c r="G80" i="10" l="1"/>
  <c r="H80" i="10" s="1"/>
  <c r="I80" i="10" s="1"/>
  <c r="L80" i="10"/>
  <c r="M80" i="10" s="1"/>
  <c r="N80" i="10" s="1"/>
  <c r="O80" i="10" s="1"/>
  <c r="G79" i="10"/>
  <c r="H79" i="10" s="1"/>
  <c r="L79" i="10"/>
  <c r="M79" i="10" s="1"/>
  <c r="G61" i="12"/>
  <c r="H61" i="12" s="1"/>
  <c r="I61" i="12" s="1"/>
  <c r="J61" i="12" s="1"/>
  <c r="L61" i="12"/>
  <c r="M61" i="12" s="1"/>
  <c r="L141" i="11"/>
  <c r="M141" i="11" s="1"/>
  <c r="G141" i="11"/>
  <c r="H141" i="11" s="1"/>
  <c r="G128" i="18"/>
  <c r="H128" i="18" s="1"/>
  <c r="I128" i="18" s="1"/>
  <c r="M128" i="18"/>
  <c r="N128" i="18" s="1"/>
  <c r="G127" i="18"/>
  <c r="H127" i="18" s="1"/>
  <c r="I127" i="18" s="1"/>
  <c r="J127" i="18" s="1"/>
  <c r="M127" i="18"/>
  <c r="N127" i="18" s="1"/>
  <c r="O127" i="18" s="1"/>
  <c r="O128" i="18" l="1"/>
  <c r="P128" i="18" s="1"/>
  <c r="J80" i="10"/>
  <c r="N79" i="10"/>
  <c r="O79" i="10" s="1"/>
  <c r="I79" i="10"/>
  <c r="J79" i="10" s="1"/>
  <c r="N61" i="12"/>
  <c r="O61" i="12" s="1"/>
  <c r="I141" i="11"/>
  <c r="J141" i="11" s="1"/>
  <c r="N141" i="11"/>
  <c r="O141" i="11" s="1"/>
  <c r="J128" i="18"/>
  <c r="P127" i="18"/>
  <c r="G25" i="18" l="1"/>
  <c r="H25" i="18" s="1"/>
  <c r="M25" i="18"/>
  <c r="N25" i="18" s="1"/>
  <c r="O25" i="18" s="1"/>
  <c r="G60" i="12"/>
  <c r="H60" i="12" s="1"/>
  <c r="L60" i="12"/>
  <c r="M60" i="12" s="1"/>
  <c r="G78" i="10"/>
  <c r="H78" i="10" s="1"/>
  <c r="L78" i="10"/>
  <c r="M78" i="10" s="1"/>
  <c r="N78" i="10" s="1"/>
  <c r="O78" i="10" s="1"/>
  <c r="G59" i="12"/>
  <c r="H59" i="12" s="1"/>
  <c r="L59" i="12"/>
  <c r="M59" i="12"/>
  <c r="N59" i="12" s="1"/>
  <c r="O59" i="12" s="1"/>
  <c r="G96" i="10"/>
  <c r="H96" i="10" s="1"/>
  <c r="L96" i="10"/>
  <c r="M96" i="10" s="1"/>
  <c r="G58" i="12"/>
  <c r="H58" i="12" s="1"/>
  <c r="L58" i="12"/>
  <c r="M58" i="12"/>
  <c r="N58" i="12" s="1"/>
  <c r="G57" i="12"/>
  <c r="H57" i="12" s="1"/>
  <c r="L57" i="12"/>
  <c r="M57" i="12" s="1"/>
  <c r="N57" i="12" s="1"/>
  <c r="G121" i="11"/>
  <c r="H121" i="11" s="1"/>
  <c r="I121" i="11" s="1"/>
  <c r="J121" i="11" s="1"/>
  <c r="L121" i="11"/>
  <c r="M121" i="11" s="1"/>
  <c r="G120" i="11"/>
  <c r="H120" i="11" s="1"/>
  <c r="L120" i="11"/>
  <c r="M120" i="11" s="1"/>
  <c r="G119" i="11"/>
  <c r="H119" i="11" s="1"/>
  <c r="L119" i="11"/>
  <c r="M119" i="11" s="1"/>
  <c r="G118" i="11"/>
  <c r="H118" i="11" s="1"/>
  <c r="L118" i="11"/>
  <c r="M118" i="11" s="1"/>
  <c r="G117" i="11"/>
  <c r="H117" i="11" s="1"/>
  <c r="L117" i="11"/>
  <c r="M117" i="11" s="1"/>
  <c r="G116" i="11"/>
  <c r="H116" i="11" s="1"/>
  <c r="L116" i="11"/>
  <c r="M116" i="11" s="1"/>
  <c r="G115" i="11"/>
  <c r="H115" i="11" s="1"/>
  <c r="I115" i="11" s="1"/>
  <c r="L115" i="11"/>
  <c r="M115" i="11" s="1"/>
  <c r="G114" i="11"/>
  <c r="H114" i="11" s="1"/>
  <c r="L114" i="11"/>
  <c r="M114" i="11" s="1"/>
  <c r="G113" i="11"/>
  <c r="H113" i="11" s="1"/>
  <c r="I113" i="11" s="1"/>
  <c r="L113" i="11"/>
  <c r="M113" i="11"/>
  <c r="N113" i="11" s="1"/>
  <c r="G112" i="11"/>
  <c r="H112" i="11" s="1"/>
  <c r="L112" i="11"/>
  <c r="M112" i="11" s="1"/>
  <c r="N112" i="11" s="1"/>
  <c r="O112" i="11" s="1"/>
  <c r="G111" i="11"/>
  <c r="H111" i="11" s="1"/>
  <c r="L111" i="11"/>
  <c r="M111" i="11" s="1"/>
  <c r="L110" i="11"/>
  <c r="M110" i="11" s="1"/>
  <c r="G110" i="11"/>
  <c r="H110" i="11" s="1"/>
  <c r="L109" i="11"/>
  <c r="M109" i="11" s="1"/>
  <c r="G109" i="11"/>
  <c r="H109" i="11" s="1"/>
  <c r="G108" i="11"/>
  <c r="H108" i="11" s="1"/>
  <c r="I108" i="11" s="1"/>
  <c r="J108" i="11" s="1"/>
  <c r="L108" i="11"/>
  <c r="M108" i="11" s="1"/>
  <c r="G107" i="11"/>
  <c r="H107" i="11" s="1"/>
  <c r="L107" i="11"/>
  <c r="M107" i="11" s="1"/>
  <c r="G106" i="11"/>
  <c r="H106" i="11" s="1"/>
  <c r="L106" i="11"/>
  <c r="M106" i="11" s="1"/>
  <c r="N106" i="11" s="1"/>
  <c r="G105" i="11"/>
  <c r="H105" i="11" s="1"/>
  <c r="L105" i="11"/>
  <c r="M105" i="11" s="1"/>
  <c r="N105" i="11" s="1"/>
  <c r="O105" i="11" s="1"/>
  <c r="L100" i="11"/>
  <c r="M100" i="11" s="1"/>
  <c r="G100" i="11"/>
  <c r="H100" i="11" s="1"/>
  <c r="L104" i="11"/>
  <c r="M104" i="11" s="1"/>
  <c r="G104" i="11"/>
  <c r="H104" i="11" s="1"/>
  <c r="G85" i="18"/>
  <c r="H85" i="18" s="1"/>
  <c r="I85" i="18" s="1"/>
  <c r="J85" i="18" s="1"/>
  <c r="M85" i="18"/>
  <c r="N85" i="18" s="1"/>
  <c r="G84" i="18"/>
  <c r="H84" i="18" s="1"/>
  <c r="M84" i="18"/>
  <c r="N84" i="18" s="1"/>
  <c r="O84" i="18" s="1"/>
  <c r="P84" i="18" s="1"/>
  <c r="G83" i="18"/>
  <c r="H83" i="18" s="1"/>
  <c r="M83" i="18"/>
  <c r="N83" i="18" s="1"/>
  <c r="G77" i="10"/>
  <c r="H77" i="10" s="1"/>
  <c r="L77" i="10"/>
  <c r="M77" i="10" s="1"/>
  <c r="N77" i="10" s="1"/>
  <c r="L98" i="11"/>
  <c r="M98" i="11" s="1"/>
  <c r="G98" i="11"/>
  <c r="H98" i="11" s="1"/>
  <c r="G56" i="12"/>
  <c r="H56" i="12" s="1"/>
  <c r="I56" i="12" s="1"/>
  <c r="J56" i="12" s="1"/>
  <c r="L56" i="12"/>
  <c r="M56" i="12" s="1"/>
  <c r="G55" i="12"/>
  <c r="H55" i="12" s="1"/>
  <c r="L55" i="12"/>
  <c r="M55" i="12" s="1"/>
  <c r="G54" i="12"/>
  <c r="H54" i="12" s="1"/>
  <c r="L54" i="12"/>
  <c r="M54" i="12" s="1"/>
  <c r="N54" i="12" s="1"/>
  <c r="G147" i="10"/>
  <c r="H147" i="10" s="1"/>
  <c r="L147" i="10"/>
  <c r="M147" i="10" s="1"/>
  <c r="G44" i="16"/>
  <c r="H44" i="16" s="1"/>
  <c r="L44" i="16"/>
  <c r="M44" i="16" s="1"/>
  <c r="N44" i="16" s="1"/>
  <c r="G76" i="10"/>
  <c r="H76" i="10" s="1"/>
  <c r="L76" i="10"/>
  <c r="M76" i="10" s="1"/>
  <c r="N76" i="10" s="1"/>
  <c r="G75" i="10"/>
  <c r="H75" i="10" s="1"/>
  <c r="L75" i="10"/>
  <c r="M75" i="10" s="1"/>
  <c r="G53" i="12"/>
  <c r="H53" i="12" s="1"/>
  <c r="L53" i="12"/>
  <c r="M53" i="12" s="1"/>
  <c r="N53" i="12" s="1"/>
  <c r="G133" i="10"/>
  <c r="H133" i="10" s="1"/>
  <c r="L133" i="10"/>
  <c r="M133" i="10" s="1"/>
  <c r="N133" i="10" s="1"/>
  <c r="G53" i="10"/>
  <c r="H53" i="10" s="1"/>
  <c r="G43" i="16"/>
  <c r="H43" i="16" s="1"/>
  <c r="L43" i="16"/>
  <c r="M43" i="16" s="1"/>
  <c r="N43" i="16" s="1"/>
  <c r="G74" i="10"/>
  <c r="H74" i="10" s="1"/>
  <c r="L74" i="10"/>
  <c r="M74" i="10" s="1"/>
  <c r="N74" i="10" s="1"/>
  <c r="G146" i="10"/>
  <c r="H146" i="10" s="1"/>
  <c r="L146" i="10"/>
  <c r="M146" i="10" s="1"/>
  <c r="N146" i="10" s="1"/>
  <c r="G141" i="10"/>
  <c r="H141" i="10" s="1"/>
  <c r="L141" i="10"/>
  <c r="M141" i="10" s="1"/>
  <c r="G140" i="10"/>
  <c r="H140" i="10" s="1"/>
  <c r="L140" i="10"/>
  <c r="M140" i="10" s="1"/>
  <c r="G52" i="12"/>
  <c r="H52" i="12" s="1"/>
  <c r="L52" i="12"/>
  <c r="M52" i="12" s="1"/>
  <c r="L149" i="10"/>
  <c r="M149" i="10" s="1"/>
  <c r="G149" i="10"/>
  <c r="H149" i="10" s="1"/>
  <c r="G73" i="10"/>
  <c r="H73" i="10" s="1"/>
  <c r="I73" i="10" s="1"/>
  <c r="J73" i="10" s="1"/>
  <c r="L73" i="10"/>
  <c r="M73" i="10" s="1"/>
  <c r="N73" i="10" s="1"/>
  <c r="N56" i="12" l="1"/>
  <c r="O56" i="12"/>
  <c r="I120" i="11"/>
  <c r="J120" i="11" s="1"/>
  <c r="J113" i="11"/>
  <c r="O57" i="12"/>
  <c r="N117" i="11"/>
  <c r="O117" i="11" s="1"/>
  <c r="N114" i="11"/>
  <c r="O114" i="11" s="1"/>
  <c r="O113" i="11"/>
  <c r="I25" i="18"/>
  <c r="J25" i="18" s="1"/>
  <c r="P25" i="18"/>
  <c r="N60" i="12"/>
  <c r="O60" i="12"/>
  <c r="I60" i="12"/>
  <c r="J60" i="12"/>
  <c r="I78" i="10"/>
  <c r="J78" i="10" s="1"/>
  <c r="I59" i="12"/>
  <c r="J59" i="12" s="1"/>
  <c r="N121" i="11"/>
  <c r="O121" i="11" s="1"/>
  <c r="I96" i="10"/>
  <c r="J96" i="10" s="1"/>
  <c r="N96" i="10"/>
  <c r="O96" i="10" s="1"/>
  <c r="I58" i="12"/>
  <c r="J58" i="12"/>
  <c r="O58" i="12"/>
  <c r="I57" i="12"/>
  <c r="J57" i="12" s="1"/>
  <c r="N120" i="11"/>
  <c r="O120" i="11" s="1"/>
  <c r="N119" i="11"/>
  <c r="O119" i="11" s="1"/>
  <c r="I119" i="11"/>
  <c r="J119" i="11" s="1"/>
  <c r="I118" i="11"/>
  <c r="J118" i="11" s="1"/>
  <c r="N118" i="11"/>
  <c r="O118" i="11" s="1"/>
  <c r="I117" i="11"/>
  <c r="J117" i="11" s="1"/>
  <c r="N116" i="11"/>
  <c r="O116" i="11" s="1"/>
  <c r="I116" i="11"/>
  <c r="J116" i="11" s="1"/>
  <c r="N111" i="11"/>
  <c r="O111" i="11" s="1"/>
  <c r="I106" i="11"/>
  <c r="J106" i="11" s="1"/>
  <c r="N115" i="11"/>
  <c r="O115" i="11" s="1"/>
  <c r="J115" i="11"/>
  <c r="I114" i="11"/>
  <c r="J114" i="11" s="1"/>
  <c r="I112" i="11"/>
  <c r="J112" i="11" s="1"/>
  <c r="I111" i="11"/>
  <c r="J111" i="11" s="1"/>
  <c r="I110" i="11"/>
  <c r="J110" i="11" s="1"/>
  <c r="N110" i="11"/>
  <c r="O110" i="11" s="1"/>
  <c r="I109" i="11"/>
  <c r="J109" i="11" s="1"/>
  <c r="N109" i="11"/>
  <c r="O109" i="11" s="1"/>
  <c r="N108" i="11"/>
  <c r="O108" i="11" s="1"/>
  <c r="I107" i="11"/>
  <c r="J107" i="11"/>
  <c r="N107" i="11"/>
  <c r="O107" i="11" s="1"/>
  <c r="O106" i="11"/>
  <c r="I105" i="11"/>
  <c r="J105" i="11" s="1"/>
  <c r="I100" i="11"/>
  <c r="J100" i="11" s="1"/>
  <c r="N100" i="11"/>
  <c r="O100" i="11" s="1"/>
  <c r="I104" i="11"/>
  <c r="J104" i="11" s="1"/>
  <c r="N104" i="11"/>
  <c r="O104" i="11" s="1"/>
  <c r="O85" i="18"/>
  <c r="P85" i="18" s="1"/>
  <c r="I84" i="18"/>
  <c r="J84" i="18" s="1"/>
  <c r="O83" i="18"/>
  <c r="P83" i="18" s="1"/>
  <c r="I83" i="18"/>
  <c r="J83" i="18" s="1"/>
  <c r="I77" i="10"/>
  <c r="J77" i="10" s="1"/>
  <c r="O77" i="10"/>
  <c r="N147" i="10"/>
  <c r="O147" i="10" s="1"/>
  <c r="I98" i="11"/>
  <c r="J98" i="11" s="1"/>
  <c r="N98" i="11"/>
  <c r="O98" i="11" s="1"/>
  <c r="N55" i="12"/>
  <c r="O55" i="12"/>
  <c r="I55" i="12"/>
  <c r="J55" i="12" s="1"/>
  <c r="I54" i="12"/>
  <c r="J54" i="12" s="1"/>
  <c r="O54" i="12"/>
  <c r="I147" i="10"/>
  <c r="J147" i="10" s="1"/>
  <c r="I44" i="16"/>
  <c r="J44" i="16" s="1"/>
  <c r="O44" i="16"/>
  <c r="I76" i="10"/>
  <c r="J76" i="10" s="1"/>
  <c r="O76" i="10"/>
  <c r="N75" i="10"/>
  <c r="O75" i="10" s="1"/>
  <c r="I75" i="10"/>
  <c r="J75" i="10" s="1"/>
  <c r="I53" i="12"/>
  <c r="J53" i="12" s="1"/>
  <c r="O53" i="12"/>
  <c r="I133" i="10"/>
  <c r="J133" i="10" s="1"/>
  <c r="O133" i="10"/>
  <c r="I53" i="10"/>
  <c r="J53" i="10" s="1"/>
  <c r="I43" i="16"/>
  <c r="J43" i="16" s="1"/>
  <c r="O43" i="16"/>
  <c r="I74" i="10"/>
  <c r="J74" i="10" s="1"/>
  <c r="O74" i="10"/>
  <c r="I146" i="10"/>
  <c r="J146" i="10" s="1"/>
  <c r="O146" i="10"/>
  <c r="N141" i="10"/>
  <c r="O141" i="10" s="1"/>
  <c r="I141" i="10"/>
  <c r="J141" i="10" s="1"/>
  <c r="N140" i="10"/>
  <c r="O140" i="10" s="1"/>
  <c r="I140" i="10"/>
  <c r="J140" i="10" s="1"/>
  <c r="I52" i="12"/>
  <c r="J52" i="12" s="1"/>
  <c r="N52" i="12"/>
  <c r="O52" i="12" s="1"/>
  <c r="I149" i="10"/>
  <c r="J149" i="10" s="1"/>
  <c r="N149" i="10"/>
  <c r="O149" i="10" s="1"/>
  <c r="O73" i="10"/>
  <c r="L42" i="10" l="1"/>
  <c r="M42" i="10" s="1"/>
  <c r="G42" i="10"/>
  <c r="H42" i="10" s="1"/>
  <c r="G23" i="10"/>
  <c r="H23" i="10" s="1"/>
  <c r="L23" i="10"/>
  <c r="M23" i="10" s="1"/>
  <c r="N23" i="10" s="1"/>
  <c r="O23" i="10" s="1"/>
  <c r="G51" i="12"/>
  <c r="H51" i="12" s="1"/>
  <c r="I51" i="12" s="1"/>
  <c r="L51" i="12"/>
  <c r="M51" i="12" s="1"/>
  <c r="G82" i="18"/>
  <c r="H82" i="18" s="1"/>
  <c r="M82" i="18"/>
  <c r="N82" i="18" s="1"/>
  <c r="G36" i="11"/>
  <c r="H36" i="11" s="1"/>
  <c r="L36" i="11"/>
  <c r="M36" i="11" s="1"/>
  <c r="G35" i="11"/>
  <c r="H35" i="11" s="1"/>
  <c r="L35" i="11"/>
  <c r="M35" i="11" s="1"/>
  <c r="N35" i="11" s="1"/>
  <c r="O35" i="11" s="1"/>
  <c r="G50" i="12"/>
  <c r="H50" i="12" s="1"/>
  <c r="L50" i="12"/>
  <c r="M50" i="12" s="1"/>
  <c r="G49" i="12"/>
  <c r="H49" i="12" s="1"/>
  <c r="I49" i="12" s="1"/>
  <c r="J49" i="12" s="1"/>
  <c r="L49" i="12"/>
  <c r="M49" i="12" s="1"/>
  <c r="N49" i="12" s="1"/>
  <c r="O49" i="12" s="1"/>
  <c r="O82" i="18" l="1"/>
  <c r="P82" i="18" s="1"/>
  <c r="N50" i="12"/>
  <c r="O50" i="12"/>
  <c r="N42" i="10"/>
  <c r="O42" i="10" s="1"/>
  <c r="I42" i="10"/>
  <c r="J42" i="10" s="1"/>
  <c r="I23" i="10"/>
  <c r="J23" i="10" s="1"/>
  <c r="J51" i="12"/>
  <c r="N51" i="12"/>
  <c r="O51" i="12" s="1"/>
  <c r="I82" i="18"/>
  <c r="J82" i="18" s="1"/>
  <c r="N36" i="11"/>
  <c r="O36" i="11" s="1"/>
  <c r="I36" i="11"/>
  <c r="J36" i="11" s="1"/>
  <c r="I35" i="11"/>
  <c r="J35" i="11" s="1"/>
  <c r="I50" i="12"/>
  <c r="J50" i="12" s="1"/>
  <c r="G111" i="10" l="1"/>
  <c r="H111" i="10" s="1"/>
  <c r="L111" i="10"/>
  <c r="M111" i="10" s="1"/>
  <c r="G110" i="10"/>
  <c r="H110" i="10" s="1"/>
  <c r="L110" i="10"/>
  <c r="M110" i="10" s="1"/>
  <c r="G48" i="12"/>
  <c r="H48" i="12" s="1"/>
  <c r="I48" i="12" s="1"/>
  <c r="L48" i="12"/>
  <c r="M48" i="12" s="1"/>
  <c r="N48" i="12" s="1"/>
  <c r="G42" i="16"/>
  <c r="H42" i="16" s="1"/>
  <c r="I42" i="16" s="1"/>
  <c r="J42" i="16" s="1"/>
  <c r="L42" i="16"/>
  <c r="M42" i="16" s="1"/>
  <c r="G41" i="16"/>
  <c r="H41" i="16" s="1"/>
  <c r="L41" i="16"/>
  <c r="M41" i="16" s="1"/>
  <c r="N41" i="16" s="1"/>
  <c r="O41" i="16" s="1"/>
  <c r="G40" i="16"/>
  <c r="H40" i="16" s="1"/>
  <c r="I40" i="16" s="1"/>
  <c r="J40" i="16" s="1"/>
  <c r="L40" i="16"/>
  <c r="M40" i="16" s="1"/>
  <c r="G39" i="16"/>
  <c r="H39" i="16" s="1"/>
  <c r="L39" i="16"/>
  <c r="M39" i="16" s="1"/>
  <c r="G38" i="16"/>
  <c r="H38" i="16" s="1"/>
  <c r="I38" i="16" s="1"/>
  <c r="L38" i="16"/>
  <c r="M38" i="16" s="1"/>
  <c r="N38" i="16" s="1"/>
  <c r="G72" i="10"/>
  <c r="H72" i="10" s="1"/>
  <c r="I72" i="10" s="1"/>
  <c r="L72" i="10"/>
  <c r="M72" i="10" s="1"/>
  <c r="G126" i="18"/>
  <c r="H126" i="18" s="1"/>
  <c r="M126" i="18"/>
  <c r="N126" i="18" s="1"/>
  <c r="O126" i="18" s="1"/>
  <c r="P126" i="18" s="1"/>
  <c r="G125" i="18"/>
  <c r="H125" i="18" s="1"/>
  <c r="M125" i="18"/>
  <c r="N125" i="18" s="1"/>
  <c r="G124" i="18"/>
  <c r="H124" i="18" s="1"/>
  <c r="I124" i="18" s="1"/>
  <c r="M124" i="18"/>
  <c r="N124" i="18" s="1"/>
  <c r="O124" i="18" s="1"/>
  <c r="P124" i="18" s="1"/>
  <c r="G123" i="18"/>
  <c r="H123" i="18" s="1"/>
  <c r="I123" i="18" s="1"/>
  <c r="M123" i="18"/>
  <c r="N123" i="18" s="1"/>
  <c r="G122" i="18"/>
  <c r="H122" i="18" s="1"/>
  <c r="I122" i="18" s="1"/>
  <c r="M122" i="18"/>
  <c r="N122" i="18" s="1"/>
  <c r="O122" i="18" s="1"/>
  <c r="G121" i="18"/>
  <c r="H121" i="18" s="1"/>
  <c r="M121" i="18"/>
  <c r="N121" i="18" s="1"/>
  <c r="M81" i="18"/>
  <c r="N81" i="18" s="1"/>
  <c r="G81" i="18"/>
  <c r="H81" i="18" s="1"/>
  <c r="G120" i="18"/>
  <c r="H120" i="18" s="1"/>
  <c r="M120" i="18"/>
  <c r="N120" i="18" s="1"/>
  <c r="G137" i="18"/>
  <c r="H137" i="18" s="1"/>
  <c r="G136" i="18"/>
  <c r="H136" i="18" s="1"/>
  <c r="M136" i="18"/>
  <c r="N136" i="18" s="1"/>
  <c r="M135" i="18"/>
  <c r="N135" i="18" s="1"/>
  <c r="G135" i="18"/>
  <c r="H135" i="18" s="1"/>
  <c r="I41" i="16" l="1"/>
  <c r="J41" i="16"/>
  <c r="O125" i="18"/>
  <c r="P125" i="18"/>
  <c r="I125" i="18"/>
  <c r="J125" i="18" s="1"/>
  <c r="N111" i="10"/>
  <c r="O111" i="10" s="1"/>
  <c r="I111" i="10"/>
  <c r="J111" i="10" s="1"/>
  <c r="N110" i="10"/>
  <c r="O110" i="10" s="1"/>
  <c r="I110" i="10"/>
  <c r="J110" i="10" s="1"/>
  <c r="O48" i="12"/>
  <c r="J48" i="12"/>
  <c r="N42" i="16"/>
  <c r="O42" i="16" s="1"/>
  <c r="N40" i="16"/>
  <c r="O40" i="16" s="1"/>
  <c r="I39" i="16"/>
  <c r="J39" i="16" s="1"/>
  <c r="N39" i="16"/>
  <c r="O39" i="16" s="1"/>
  <c r="O38" i="16"/>
  <c r="J38" i="16"/>
  <c r="N72" i="10"/>
  <c r="O72" i="10" s="1"/>
  <c r="J72" i="10"/>
  <c r="I126" i="18"/>
  <c r="J126" i="18" s="1"/>
  <c r="J124" i="18"/>
  <c r="O123" i="18"/>
  <c r="P123" i="18" s="1"/>
  <c r="J123" i="18"/>
  <c r="I121" i="18"/>
  <c r="J121" i="18" s="1"/>
  <c r="P122" i="18"/>
  <c r="J122" i="18"/>
  <c r="O121" i="18"/>
  <c r="P121" i="18" s="1"/>
  <c r="O81" i="18"/>
  <c r="P81" i="18" s="1"/>
  <c r="I81" i="18"/>
  <c r="J81" i="18" s="1"/>
  <c r="O120" i="18"/>
  <c r="P120" i="18" s="1"/>
  <c r="I120" i="18"/>
  <c r="J120" i="18" s="1"/>
  <c r="I137" i="18"/>
  <c r="J137" i="18" s="1"/>
  <c r="O136" i="18"/>
  <c r="P136" i="18" s="1"/>
  <c r="I136" i="18"/>
  <c r="J136" i="18" s="1"/>
  <c r="I135" i="18"/>
  <c r="J135" i="18" s="1"/>
  <c r="O135" i="18"/>
  <c r="P135" i="18" s="1"/>
  <c r="G47" i="12" l="1"/>
  <c r="H47" i="12" s="1"/>
  <c r="L47" i="12"/>
  <c r="M47" i="12" s="1"/>
  <c r="G46" i="12"/>
  <c r="H46" i="12" s="1"/>
  <c r="L46" i="12"/>
  <c r="M46" i="12" s="1"/>
  <c r="N46" i="12" s="1"/>
  <c r="O46" i="12" s="1"/>
  <c r="G119" i="18"/>
  <c r="H119" i="18" s="1"/>
  <c r="M119" i="18"/>
  <c r="N119" i="18" s="1"/>
  <c r="G118" i="18"/>
  <c r="H118" i="18" s="1"/>
  <c r="M118" i="18"/>
  <c r="N118" i="18" s="1"/>
  <c r="O118" i="18" s="1"/>
  <c r="G117" i="18"/>
  <c r="H117" i="18" s="1"/>
  <c r="M117" i="18"/>
  <c r="N117" i="18" s="1"/>
  <c r="G116" i="18"/>
  <c r="H116" i="18" s="1"/>
  <c r="M116" i="18"/>
  <c r="N116" i="18" s="1"/>
  <c r="G115" i="18"/>
  <c r="H115" i="18" s="1"/>
  <c r="I115" i="18" s="1"/>
  <c r="M115" i="18"/>
  <c r="N115" i="18" s="1"/>
  <c r="G114" i="18"/>
  <c r="H114" i="18" s="1"/>
  <c r="M114" i="18"/>
  <c r="N114" i="18" s="1"/>
  <c r="G113" i="18"/>
  <c r="H113" i="18" s="1"/>
  <c r="M113" i="18"/>
  <c r="N113" i="18" s="1"/>
  <c r="G80" i="18"/>
  <c r="H80" i="18" s="1"/>
  <c r="M80" i="18"/>
  <c r="N80" i="18" s="1"/>
  <c r="G112" i="18"/>
  <c r="H112" i="18" s="1"/>
  <c r="I112" i="18" s="1"/>
  <c r="M112" i="18"/>
  <c r="N112" i="18" s="1"/>
  <c r="O112" i="18" s="1"/>
  <c r="G79" i="18"/>
  <c r="H79" i="18" s="1"/>
  <c r="I79" i="18" s="1"/>
  <c r="J79" i="18" s="1"/>
  <c r="M79" i="18"/>
  <c r="N79" i="18" s="1"/>
  <c r="G78" i="18"/>
  <c r="H78" i="18" s="1"/>
  <c r="I78" i="18" s="1"/>
  <c r="M78" i="18"/>
  <c r="N78" i="18" s="1"/>
  <c r="O78" i="18" s="1"/>
  <c r="G111" i="18"/>
  <c r="H111" i="18" s="1"/>
  <c r="M111" i="18"/>
  <c r="N111" i="18" s="1"/>
  <c r="G110" i="18"/>
  <c r="H110" i="18" s="1"/>
  <c r="M110" i="18"/>
  <c r="N110" i="18" s="1"/>
  <c r="G77" i="18"/>
  <c r="H77" i="18" s="1"/>
  <c r="I77" i="18" s="1"/>
  <c r="M77" i="18"/>
  <c r="N77" i="18" s="1"/>
  <c r="N47" i="12" l="1"/>
  <c r="O47" i="12"/>
  <c r="O117" i="18"/>
  <c r="P117" i="18" s="1"/>
  <c r="P118" i="18"/>
  <c r="I47" i="12"/>
  <c r="J47" i="12" s="1"/>
  <c r="I46" i="12"/>
  <c r="J46" i="12" s="1"/>
  <c r="O119" i="18"/>
  <c r="P119" i="18" s="1"/>
  <c r="I119" i="18"/>
  <c r="J119" i="18" s="1"/>
  <c r="I118" i="18"/>
  <c r="J118" i="18" s="1"/>
  <c r="I117" i="18"/>
  <c r="J117" i="18" s="1"/>
  <c r="I116" i="18"/>
  <c r="J116" i="18" s="1"/>
  <c r="O116" i="18"/>
  <c r="P116" i="18" s="1"/>
  <c r="O115" i="18"/>
  <c r="P115" i="18" s="1"/>
  <c r="J115" i="18"/>
  <c r="O114" i="18"/>
  <c r="P114" i="18" s="1"/>
  <c r="I114" i="18"/>
  <c r="J114" i="18" s="1"/>
  <c r="O113" i="18"/>
  <c r="P113" i="18" s="1"/>
  <c r="I113" i="18"/>
  <c r="J113" i="18" s="1"/>
  <c r="O80" i="18"/>
  <c r="P80" i="18" s="1"/>
  <c r="I80" i="18"/>
  <c r="J80" i="18" s="1"/>
  <c r="J112" i="18"/>
  <c r="P112" i="18"/>
  <c r="O79" i="18"/>
  <c r="P79" i="18" s="1"/>
  <c r="P78" i="18"/>
  <c r="J78" i="18"/>
  <c r="O111" i="18"/>
  <c r="P111" i="18" s="1"/>
  <c r="I111" i="18"/>
  <c r="J111" i="18" s="1"/>
  <c r="O110" i="18"/>
  <c r="P110" i="18" s="1"/>
  <c r="I110" i="18"/>
  <c r="J110" i="18" s="1"/>
  <c r="O77" i="18"/>
  <c r="P77" i="18" s="1"/>
  <c r="J77" i="18"/>
  <c r="G76" i="18" l="1"/>
  <c r="H76" i="18" s="1"/>
  <c r="M76" i="18"/>
  <c r="N76" i="18" s="1"/>
  <c r="G75" i="18"/>
  <c r="H75" i="18" s="1"/>
  <c r="I75" i="18" s="1"/>
  <c r="J75" i="18" s="1"/>
  <c r="M75" i="18"/>
  <c r="N75" i="18" s="1"/>
  <c r="O75" i="18" s="1"/>
  <c r="P75" i="18" s="1"/>
  <c r="G63" i="11"/>
  <c r="H63" i="11" s="1"/>
  <c r="L63" i="11"/>
  <c r="M63" i="11" s="1"/>
  <c r="G134" i="18"/>
  <c r="H134" i="18" s="1"/>
  <c r="M134" i="18"/>
  <c r="N134" i="18" s="1"/>
  <c r="G34" i="11"/>
  <c r="H34" i="11" s="1"/>
  <c r="L34" i="11"/>
  <c r="M34" i="11" s="1"/>
  <c r="N34" i="11" s="1"/>
  <c r="O34" i="11" s="1"/>
  <c r="G95" i="10"/>
  <c r="H95" i="10" s="1"/>
  <c r="I95" i="10" s="1"/>
  <c r="J95" i="10" s="1"/>
  <c r="L95" i="10"/>
  <c r="M95" i="10" s="1"/>
  <c r="G94" i="10"/>
  <c r="H94" i="10" s="1"/>
  <c r="I94" i="10" s="1"/>
  <c r="J94" i="10" s="1"/>
  <c r="L94" i="10"/>
  <c r="M94" i="10" s="1"/>
  <c r="N94" i="10" s="1"/>
  <c r="G45" i="12"/>
  <c r="H45" i="12" s="1"/>
  <c r="L45" i="12"/>
  <c r="M45" i="12" s="1"/>
  <c r="N95" i="10" l="1"/>
  <c r="O95" i="10" s="1"/>
  <c r="O94" i="10"/>
  <c r="I76" i="18"/>
  <c r="J76" i="18" s="1"/>
  <c r="O76" i="18"/>
  <c r="P76" i="18" s="1"/>
  <c r="N63" i="11"/>
  <c r="O63" i="11" s="1"/>
  <c r="I63" i="11"/>
  <c r="J63" i="11" s="1"/>
  <c r="I134" i="18"/>
  <c r="J134" i="18" s="1"/>
  <c r="O134" i="18"/>
  <c r="P134" i="18" s="1"/>
  <c r="I34" i="11"/>
  <c r="J34" i="11" s="1"/>
  <c r="N45" i="12"/>
  <c r="O45" i="12" s="1"/>
  <c r="I45" i="12"/>
  <c r="J45" i="12" s="1"/>
  <c r="M74" i="18" l="1"/>
  <c r="N74" i="18" s="1"/>
  <c r="G74" i="18"/>
  <c r="H74" i="18" s="1"/>
  <c r="M73" i="18"/>
  <c r="N73" i="18" s="1"/>
  <c r="G73" i="18"/>
  <c r="H73" i="18" s="1"/>
  <c r="O74" i="18" l="1"/>
  <c r="P74" i="18" s="1"/>
  <c r="I74" i="18"/>
  <c r="J74" i="18" s="1"/>
  <c r="I73" i="18"/>
  <c r="J73" i="18" s="1"/>
  <c r="O73" i="18"/>
  <c r="P73" i="18" s="1"/>
  <c r="M109" i="18" l="1"/>
  <c r="N109" i="18" s="1"/>
  <c r="G109" i="18"/>
  <c r="H109" i="18" s="1"/>
  <c r="G133" i="18"/>
  <c r="H133" i="18" s="1"/>
  <c r="M133" i="18"/>
  <c r="N133" i="18" s="1"/>
  <c r="O133" i="18" s="1"/>
  <c r="P133" i="18" s="1"/>
  <c r="L145" i="10"/>
  <c r="M145" i="10" s="1"/>
  <c r="G145" i="10"/>
  <c r="H145" i="10" s="1"/>
  <c r="L139" i="10"/>
  <c r="M139" i="10" s="1"/>
  <c r="G139" i="10"/>
  <c r="H139" i="10" s="1"/>
  <c r="G24" i="18"/>
  <c r="H24" i="18" s="1"/>
  <c r="I24" i="18" s="1"/>
  <c r="M24" i="18"/>
  <c r="N24" i="18" s="1"/>
  <c r="O24" i="18" s="1"/>
  <c r="G23" i="18"/>
  <c r="H23" i="18" s="1"/>
  <c r="M23" i="18"/>
  <c r="N23" i="18" s="1"/>
  <c r="G72" i="18"/>
  <c r="H72" i="18" s="1"/>
  <c r="M72" i="18"/>
  <c r="N72" i="18" s="1"/>
  <c r="G71" i="18"/>
  <c r="H71" i="18" s="1"/>
  <c r="M71" i="18"/>
  <c r="N71" i="18" s="1"/>
  <c r="O71" i="18" s="1"/>
  <c r="G70" i="18"/>
  <c r="H70" i="18" s="1"/>
  <c r="M70" i="18"/>
  <c r="N70" i="18" s="1"/>
  <c r="G69" i="18"/>
  <c r="H69" i="18" s="1"/>
  <c r="M69" i="18"/>
  <c r="N69" i="18" s="1"/>
  <c r="O69" i="18" s="1"/>
  <c r="G68" i="18"/>
  <c r="H68" i="18" s="1"/>
  <c r="M68" i="18"/>
  <c r="N68" i="18" s="1"/>
  <c r="G108" i="18"/>
  <c r="H108" i="18" s="1"/>
  <c r="M108" i="18"/>
  <c r="N108" i="18" s="1"/>
  <c r="O108" i="18" s="1"/>
  <c r="G107" i="18"/>
  <c r="H107" i="18" s="1"/>
  <c r="M107" i="18"/>
  <c r="N107" i="18" s="1"/>
  <c r="G67" i="18"/>
  <c r="H67" i="18" s="1"/>
  <c r="M67" i="18"/>
  <c r="N67" i="18" s="1"/>
  <c r="G66" i="18"/>
  <c r="H66" i="18" s="1"/>
  <c r="M66" i="18"/>
  <c r="N66" i="18" s="1"/>
  <c r="O66" i="18" s="1"/>
  <c r="G65" i="18"/>
  <c r="H65" i="18" s="1"/>
  <c r="M65" i="18"/>
  <c r="N65" i="18" s="1"/>
  <c r="O65" i="18" s="1"/>
  <c r="G132" i="18"/>
  <c r="H132" i="18" s="1"/>
  <c r="M132" i="18"/>
  <c r="N132" i="18" s="1"/>
  <c r="O132" i="18" s="1"/>
  <c r="M131" i="18"/>
  <c r="N131" i="18" s="1"/>
  <c r="G131" i="18"/>
  <c r="H131" i="18" s="1"/>
  <c r="G64" i="18"/>
  <c r="H64" i="18" s="1"/>
  <c r="M64" i="18"/>
  <c r="N64" i="18" s="1"/>
  <c r="O64" i="18" s="1"/>
  <c r="G106" i="18"/>
  <c r="H106" i="18" s="1"/>
  <c r="M106" i="18"/>
  <c r="N106" i="18" s="1"/>
  <c r="G105" i="18"/>
  <c r="H105" i="18" s="1"/>
  <c r="M105" i="18"/>
  <c r="N105" i="18" s="1"/>
  <c r="O105" i="18" s="1"/>
  <c r="G104" i="18"/>
  <c r="H104" i="18" s="1"/>
  <c r="M104" i="18"/>
  <c r="N104" i="18" s="1"/>
  <c r="O104" i="18" s="1"/>
  <c r="G63" i="18"/>
  <c r="H63" i="18" s="1"/>
  <c r="M63" i="18"/>
  <c r="N63" i="18" s="1"/>
  <c r="G62" i="18"/>
  <c r="H62" i="18" s="1"/>
  <c r="M62" i="18"/>
  <c r="N62" i="18" s="1"/>
  <c r="G61" i="18"/>
  <c r="H61" i="18" s="1"/>
  <c r="M61" i="18"/>
  <c r="N61" i="18" s="1"/>
  <c r="G60" i="18"/>
  <c r="H60" i="18" s="1"/>
  <c r="I60" i="18" s="1"/>
  <c r="M60" i="18"/>
  <c r="N60" i="18" s="1"/>
  <c r="G154" i="18"/>
  <c r="H154" i="18" s="1"/>
  <c r="M154" i="18"/>
  <c r="N154" i="18" s="1"/>
  <c r="G153" i="18"/>
  <c r="H153" i="18" s="1"/>
  <c r="I153" i="18" s="1"/>
  <c r="M153" i="18"/>
  <c r="N153" i="18" s="1"/>
  <c r="O153" i="18" s="1"/>
  <c r="P153" i="18" s="1"/>
  <c r="M152" i="18"/>
  <c r="N152" i="18" s="1"/>
  <c r="G152" i="18"/>
  <c r="H152" i="18" s="1"/>
  <c r="G44" i="12"/>
  <c r="H44" i="12" s="1"/>
  <c r="L44" i="12"/>
  <c r="M44" i="12" s="1"/>
  <c r="G43" i="12"/>
  <c r="H43" i="12" s="1"/>
  <c r="L43" i="12"/>
  <c r="M43" i="12" s="1"/>
  <c r="G20" i="10"/>
  <c r="H20" i="10" s="1"/>
  <c r="I20" i="10" s="1"/>
  <c r="J20" i="10" s="1"/>
  <c r="L20" i="10"/>
  <c r="M20" i="10" s="1"/>
  <c r="N43" i="12" l="1"/>
  <c r="O43" i="12" s="1"/>
  <c r="N20" i="10"/>
  <c r="O20" i="10" s="1"/>
  <c r="I109" i="18"/>
  <c r="J109" i="18" s="1"/>
  <c r="O109" i="18"/>
  <c r="P109" i="18" s="1"/>
  <c r="I133" i="18"/>
  <c r="J133" i="18" s="1"/>
  <c r="I145" i="10"/>
  <c r="J145" i="10" s="1"/>
  <c r="N145" i="10"/>
  <c r="O145" i="10" s="1"/>
  <c r="I139" i="10"/>
  <c r="J139" i="10" s="1"/>
  <c r="N139" i="10"/>
  <c r="O139" i="10" s="1"/>
  <c r="P24" i="18"/>
  <c r="J24" i="18"/>
  <c r="O23" i="18"/>
  <c r="P23" i="18" s="1"/>
  <c r="I23" i="18"/>
  <c r="J23" i="18" s="1"/>
  <c r="O72" i="18"/>
  <c r="P72" i="18" s="1"/>
  <c r="I72" i="18"/>
  <c r="J72" i="18" s="1"/>
  <c r="I71" i="18"/>
  <c r="J71" i="18" s="1"/>
  <c r="P71" i="18"/>
  <c r="O70" i="18"/>
  <c r="P70" i="18" s="1"/>
  <c r="I70" i="18"/>
  <c r="J70" i="18" s="1"/>
  <c r="O68" i="18"/>
  <c r="P68" i="18" s="1"/>
  <c r="I69" i="18"/>
  <c r="J69" i="18"/>
  <c r="P69" i="18"/>
  <c r="I68" i="18"/>
  <c r="J68" i="18" s="1"/>
  <c r="I108" i="18"/>
  <c r="J108" i="18" s="1"/>
  <c r="P108" i="18"/>
  <c r="O107" i="18"/>
  <c r="P107" i="18" s="1"/>
  <c r="I107" i="18"/>
  <c r="J107" i="18" s="1"/>
  <c r="O67" i="18"/>
  <c r="P67" i="18" s="1"/>
  <c r="I67" i="18"/>
  <c r="J67" i="18" s="1"/>
  <c r="I132" i="18"/>
  <c r="J132" i="18" s="1"/>
  <c r="I66" i="18"/>
  <c r="J66" i="18" s="1"/>
  <c r="P66" i="18"/>
  <c r="I65" i="18"/>
  <c r="J65" i="18" s="1"/>
  <c r="P65" i="18"/>
  <c r="P132" i="18"/>
  <c r="I131" i="18"/>
  <c r="J131" i="18" s="1"/>
  <c r="O131" i="18"/>
  <c r="P131" i="18" s="1"/>
  <c r="I64" i="18"/>
  <c r="J64" i="18" s="1"/>
  <c r="P64" i="18"/>
  <c r="O106" i="18"/>
  <c r="P106" i="18" s="1"/>
  <c r="I106" i="18"/>
  <c r="J106" i="18" s="1"/>
  <c r="I105" i="18"/>
  <c r="J105" i="18" s="1"/>
  <c r="P105" i="18"/>
  <c r="I104" i="18"/>
  <c r="J104" i="18" s="1"/>
  <c r="P104" i="18"/>
  <c r="O63" i="18"/>
  <c r="P63" i="18" s="1"/>
  <c r="I63" i="18"/>
  <c r="J63" i="18" s="1"/>
  <c r="O62" i="18"/>
  <c r="P62" i="18" s="1"/>
  <c r="I62" i="18"/>
  <c r="J62" i="18" s="1"/>
  <c r="O61" i="18"/>
  <c r="P61" i="18" s="1"/>
  <c r="O60" i="18"/>
  <c r="P60" i="18" s="1"/>
  <c r="I61" i="18"/>
  <c r="J61" i="18" s="1"/>
  <c r="J60" i="18"/>
  <c r="O154" i="18"/>
  <c r="P154" i="18" s="1"/>
  <c r="I154" i="18"/>
  <c r="J154" i="18" s="1"/>
  <c r="J153" i="18"/>
  <c r="I152" i="18"/>
  <c r="J152" i="18" s="1"/>
  <c r="O152" i="18"/>
  <c r="P152" i="18" s="1"/>
  <c r="N44" i="12"/>
  <c r="O44" i="12" s="1"/>
  <c r="I44" i="12"/>
  <c r="J44" i="12" s="1"/>
  <c r="I43" i="12"/>
  <c r="J43" i="12" s="1"/>
  <c r="G151" i="18" l="1"/>
  <c r="H151" i="18" s="1"/>
  <c r="M151" i="18"/>
  <c r="N151" i="18" s="1"/>
  <c r="O151" i="18" s="1"/>
  <c r="P151" i="18" s="1"/>
  <c r="G150" i="18"/>
  <c r="H150" i="18" s="1"/>
  <c r="M150" i="18"/>
  <c r="N150" i="18" s="1"/>
  <c r="O150" i="18" s="1"/>
  <c r="G149" i="18"/>
  <c r="H149" i="18" s="1"/>
  <c r="M149" i="18"/>
  <c r="N149" i="18" s="1"/>
  <c r="G148" i="18"/>
  <c r="H148" i="18" s="1"/>
  <c r="I148" i="18" s="1"/>
  <c r="M148" i="18"/>
  <c r="N148" i="18" s="1"/>
  <c r="O148" i="18" s="1"/>
  <c r="P148" i="18" s="1"/>
  <c r="G147" i="18"/>
  <c r="H147" i="18" s="1"/>
  <c r="M147" i="18"/>
  <c r="N147" i="18" s="1"/>
  <c r="O147" i="18" s="1"/>
  <c r="P147" i="18" s="1"/>
  <c r="G146" i="18"/>
  <c r="H146" i="18" s="1"/>
  <c r="M146" i="18"/>
  <c r="N146" i="18" s="1"/>
  <c r="G145" i="18"/>
  <c r="H145" i="18" s="1"/>
  <c r="M145" i="18"/>
  <c r="N145" i="18" s="1"/>
  <c r="G144" i="18"/>
  <c r="H144" i="18" s="1"/>
  <c r="M144" i="18"/>
  <c r="N144" i="18" s="1"/>
  <c r="G143" i="18"/>
  <c r="H143" i="18" s="1"/>
  <c r="M143" i="18"/>
  <c r="N143" i="18" s="1"/>
  <c r="O143" i="18" s="1"/>
  <c r="P143" i="18" s="1"/>
  <c r="M142" i="18"/>
  <c r="N142" i="18" s="1"/>
  <c r="G142" i="18"/>
  <c r="H142" i="18" s="1"/>
  <c r="G42" i="12"/>
  <c r="H42" i="12" s="1"/>
  <c r="L42" i="12"/>
  <c r="M42" i="12"/>
  <c r="G41" i="12"/>
  <c r="H41" i="12" s="1"/>
  <c r="L41" i="12"/>
  <c r="M41" i="12" s="1"/>
  <c r="N41" i="12" s="1"/>
  <c r="G71" i="10"/>
  <c r="H71" i="10" s="1"/>
  <c r="L71" i="10"/>
  <c r="M71" i="10" s="1"/>
  <c r="G70" i="10"/>
  <c r="H70" i="10" s="1"/>
  <c r="L70" i="10"/>
  <c r="M70" i="10" s="1"/>
  <c r="N42" i="12" l="1"/>
  <c r="O42" i="12" s="1"/>
  <c r="N71" i="10"/>
  <c r="O71" i="10" s="1"/>
  <c r="O146" i="18"/>
  <c r="P146" i="18" s="1"/>
  <c r="P150" i="18"/>
  <c r="I151" i="18"/>
  <c r="J151" i="18" s="1"/>
  <c r="I150" i="18"/>
  <c r="J150" i="18" s="1"/>
  <c r="O149" i="18"/>
  <c r="P149" i="18" s="1"/>
  <c r="I149" i="18"/>
  <c r="J149" i="18" s="1"/>
  <c r="J148" i="18"/>
  <c r="I147" i="18"/>
  <c r="J147" i="18" s="1"/>
  <c r="I146" i="18"/>
  <c r="J146" i="18" s="1"/>
  <c r="O145" i="18"/>
  <c r="P145" i="18" s="1"/>
  <c r="I145" i="18"/>
  <c r="J145" i="18" s="1"/>
  <c r="O144" i="18"/>
  <c r="P144" i="18" s="1"/>
  <c r="I144" i="18"/>
  <c r="J144" i="18" s="1"/>
  <c r="I143" i="18"/>
  <c r="J143" i="18" s="1"/>
  <c r="I142" i="18"/>
  <c r="J142" i="18" s="1"/>
  <c r="O142" i="18"/>
  <c r="P142" i="18" s="1"/>
  <c r="I42" i="12"/>
  <c r="J42" i="12" s="1"/>
  <c r="I41" i="12"/>
  <c r="J41" i="12" s="1"/>
  <c r="O41" i="12"/>
  <c r="I71" i="10"/>
  <c r="J71" i="10" s="1"/>
  <c r="N70" i="10"/>
  <c r="O70" i="10" s="1"/>
  <c r="I70" i="10"/>
  <c r="J70" i="10" s="1"/>
  <c r="G69" i="10" l="1"/>
  <c r="H69" i="10" s="1"/>
  <c r="I69" i="10" s="1"/>
  <c r="J69" i="10" s="1"/>
  <c r="L69" i="10"/>
  <c r="M69" i="10" s="1"/>
  <c r="N69" i="10" s="1"/>
  <c r="O69" i="10" s="1"/>
  <c r="L68" i="10"/>
  <c r="M68" i="10" s="1"/>
  <c r="G68" i="10"/>
  <c r="H68" i="10" s="1"/>
  <c r="G67" i="10"/>
  <c r="H67" i="10" s="1"/>
  <c r="L67" i="10"/>
  <c r="M67" i="10" s="1"/>
  <c r="N67" i="10" s="1"/>
  <c r="G22" i="10"/>
  <c r="H22" i="10" s="1"/>
  <c r="L22" i="10"/>
  <c r="M22" i="10" s="1"/>
  <c r="G21" i="10"/>
  <c r="H21" i="10" s="1"/>
  <c r="L21" i="10"/>
  <c r="M21" i="10" s="1"/>
  <c r="G19" i="10"/>
  <c r="H19" i="10" s="1"/>
  <c r="L19" i="10"/>
  <c r="M19" i="10" s="1"/>
  <c r="G18" i="10"/>
  <c r="H18" i="10" s="1"/>
  <c r="L18" i="10"/>
  <c r="M18" i="10" s="1"/>
  <c r="G20" i="8"/>
  <c r="H20" i="8" s="1"/>
  <c r="L20" i="8"/>
  <c r="M20" i="8" s="1"/>
  <c r="N20" i="8" s="1"/>
  <c r="I68" i="10" l="1"/>
  <c r="J68" i="10" s="1"/>
  <c r="N68" i="10"/>
  <c r="O68" i="10" s="1"/>
  <c r="I67" i="10"/>
  <c r="J67" i="10" s="1"/>
  <c r="O67" i="10"/>
  <c r="N22" i="10"/>
  <c r="O22" i="10" s="1"/>
  <c r="I22" i="10"/>
  <c r="J22" i="10" s="1"/>
  <c r="N21" i="10"/>
  <c r="O21" i="10" s="1"/>
  <c r="I21" i="10"/>
  <c r="J21" i="10" s="1"/>
  <c r="N19" i="10"/>
  <c r="O19" i="10" s="1"/>
  <c r="I19" i="10"/>
  <c r="J19" i="10" s="1"/>
  <c r="N18" i="10"/>
  <c r="O18" i="10" s="1"/>
  <c r="I18" i="10"/>
  <c r="J18" i="10" s="1"/>
  <c r="I20" i="8"/>
  <c r="J20" i="8" s="1"/>
  <c r="O20" i="8"/>
  <c r="G59" i="18" l="1"/>
  <c r="H59" i="18" s="1"/>
  <c r="I59" i="18" s="1"/>
  <c r="M59" i="18"/>
  <c r="N59" i="18" s="1"/>
  <c r="O59" i="18" s="1"/>
  <c r="G58" i="18"/>
  <c r="H58" i="18" s="1"/>
  <c r="M58" i="18"/>
  <c r="N58" i="18" s="1"/>
  <c r="M57" i="18"/>
  <c r="N57" i="18" s="1"/>
  <c r="G57" i="18"/>
  <c r="H57" i="18" s="1"/>
  <c r="G56" i="18"/>
  <c r="H56" i="18" s="1"/>
  <c r="M56" i="18"/>
  <c r="N56" i="18" s="1"/>
  <c r="O56" i="18" s="1"/>
  <c r="G44" i="18"/>
  <c r="J59" i="18" l="1"/>
  <c r="P59" i="18"/>
  <c r="O58" i="18"/>
  <c r="P58" i="18" s="1"/>
  <c r="I58" i="18"/>
  <c r="J58" i="18" s="1"/>
  <c r="I57" i="18"/>
  <c r="J57" i="18" s="1"/>
  <c r="O57" i="18"/>
  <c r="P57" i="18" s="1"/>
  <c r="I56" i="18"/>
  <c r="J56" i="18" s="1"/>
  <c r="P56" i="18"/>
  <c r="G93" i="10" l="1"/>
  <c r="H93" i="10" s="1"/>
  <c r="L93" i="10"/>
  <c r="M93" i="10" s="1"/>
  <c r="N93" i="10" l="1"/>
  <c r="O93" i="10" s="1"/>
  <c r="I93" i="10"/>
  <c r="J93" i="10" s="1"/>
  <c r="G127" i="10" l="1"/>
  <c r="H127" i="10" s="1"/>
  <c r="L127" i="10"/>
  <c r="M127" i="10" s="1"/>
  <c r="G126" i="10"/>
  <c r="H126" i="10" s="1"/>
  <c r="L126" i="10"/>
  <c r="M126" i="10" s="1"/>
  <c r="N126" i="10" s="1"/>
  <c r="O126" i="10" s="1"/>
  <c r="G125" i="10"/>
  <c r="H125" i="10" s="1"/>
  <c r="L125" i="10"/>
  <c r="M125" i="10" s="1"/>
  <c r="G124" i="10"/>
  <c r="H124" i="10" s="1"/>
  <c r="L124" i="10"/>
  <c r="M124" i="10" s="1"/>
  <c r="N127" i="10" l="1"/>
  <c r="O127" i="10" s="1"/>
  <c r="I127" i="10"/>
  <c r="J127" i="10" s="1"/>
  <c r="N124" i="10"/>
  <c r="O124" i="10" s="1"/>
  <c r="I126" i="10"/>
  <c r="J126" i="10" s="1"/>
  <c r="N125" i="10"/>
  <c r="O125" i="10" s="1"/>
  <c r="I125" i="10"/>
  <c r="J125" i="10" s="1"/>
  <c r="I124" i="10"/>
  <c r="J124" i="10" s="1"/>
  <c r="G28" i="18" l="1"/>
  <c r="H28" i="18" s="1"/>
  <c r="I28" i="18" s="1"/>
  <c r="J28" i="18" s="1"/>
  <c r="M28" i="18"/>
  <c r="N28" i="18" s="1"/>
  <c r="O28" i="18" s="1"/>
  <c r="P28" i="18" s="1"/>
  <c r="G22" i="18"/>
  <c r="H22" i="18" s="1"/>
  <c r="M22" i="18"/>
  <c r="N22" i="18" s="1"/>
  <c r="G55" i="18"/>
  <c r="H55" i="18" s="1"/>
  <c r="M55" i="18"/>
  <c r="N55" i="18" s="1"/>
  <c r="G54" i="18"/>
  <c r="H54" i="18" s="1"/>
  <c r="M54" i="18"/>
  <c r="N54" i="18" s="1"/>
  <c r="G53" i="18"/>
  <c r="H53" i="18" s="1"/>
  <c r="M53" i="18"/>
  <c r="N53" i="18" s="1"/>
  <c r="O53" i="18" s="1"/>
  <c r="G52" i="18"/>
  <c r="H52" i="18" s="1"/>
  <c r="I52" i="18" s="1"/>
  <c r="M52" i="18"/>
  <c r="N52" i="18" s="1"/>
  <c r="O52" i="18" s="1"/>
  <c r="P52" i="18" s="1"/>
  <c r="G51" i="18"/>
  <c r="H51" i="18" s="1"/>
  <c r="M51" i="18"/>
  <c r="N51" i="18" s="1"/>
  <c r="M50" i="18"/>
  <c r="N50" i="18" s="1"/>
  <c r="G50" i="18"/>
  <c r="H50" i="18" s="1"/>
  <c r="P53" i="18" l="1"/>
  <c r="I22" i="18"/>
  <c r="J22" i="18" s="1"/>
  <c r="O22" i="18"/>
  <c r="P22" i="18" s="1"/>
  <c r="O55" i="18"/>
  <c r="P55" i="18" s="1"/>
  <c r="I55" i="18"/>
  <c r="J55" i="18" s="1"/>
  <c r="O54" i="18"/>
  <c r="P54" i="18" s="1"/>
  <c r="I54" i="18"/>
  <c r="J54" i="18" s="1"/>
  <c r="I53" i="18"/>
  <c r="J53" i="18" s="1"/>
  <c r="J52" i="18"/>
  <c r="O51" i="18"/>
  <c r="P51" i="18" s="1"/>
  <c r="I51" i="18"/>
  <c r="J51" i="18" s="1"/>
  <c r="I50" i="18"/>
  <c r="J50" i="18" s="1"/>
  <c r="O50" i="18"/>
  <c r="P50" i="18" s="1"/>
  <c r="G40" i="12" l="1"/>
  <c r="H40" i="12"/>
  <c r="I40" i="12" s="1"/>
  <c r="J40" i="12" s="1"/>
  <c r="L40" i="12"/>
  <c r="M40" i="12" s="1"/>
  <c r="N40" i="12" s="1"/>
  <c r="O40" i="12" s="1"/>
  <c r="G80" i="11"/>
  <c r="H80" i="11" s="1"/>
  <c r="L80" i="11"/>
  <c r="M80" i="11" s="1"/>
  <c r="N80" i="11" s="1"/>
  <c r="G33" i="11"/>
  <c r="H33" i="11" s="1"/>
  <c r="L33" i="11"/>
  <c r="M33" i="11" s="1"/>
  <c r="N33" i="11" s="1"/>
  <c r="O33" i="11" s="1"/>
  <c r="I80" i="11" l="1"/>
  <c r="J80" i="11" s="1"/>
  <c r="O80" i="11"/>
  <c r="I33" i="11"/>
  <c r="J33" i="11" s="1"/>
  <c r="G37" i="16" l="1"/>
  <c r="H37" i="16" s="1"/>
  <c r="L37" i="16"/>
  <c r="M37" i="16" s="1"/>
  <c r="N37" i="16" l="1"/>
  <c r="O37" i="16" s="1"/>
  <c r="I37" i="16"/>
  <c r="J37" i="16" s="1"/>
  <c r="G72" i="16" l="1"/>
  <c r="H72" i="16" s="1"/>
  <c r="I72" i="16" s="1"/>
  <c r="L72" i="16"/>
  <c r="M72" i="16" s="1"/>
  <c r="N72" i="16" s="1"/>
  <c r="O72" i="16" s="1"/>
  <c r="G71" i="16"/>
  <c r="H71" i="16" s="1"/>
  <c r="I71" i="16" s="1"/>
  <c r="L71" i="16"/>
  <c r="M71" i="16" s="1"/>
  <c r="G70" i="16"/>
  <c r="H70" i="16" s="1"/>
  <c r="I70" i="16" s="1"/>
  <c r="J70" i="16" s="1"/>
  <c r="L70" i="16"/>
  <c r="M70" i="16" s="1"/>
  <c r="N70" i="16" s="1"/>
  <c r="O70" i="16" s="1"/>
  <c r="G69" i="16"/>
  <c r="H69" i="16" s="1"/>
  <c r="L69" i="16"/>
  <c r="M69" i="16" s="1"/>
  <c r="G36" i="16"/>
  <c r="H36" i="16" s="1"/>
  <c r="I36" i="16" s="1"/>
  <c r="L36" i="16"/>
  <c r="M36" i="16" s="1"/>
  <c r="N36" i="16" s="1"/>
  <c r="G35" i="16"/>
  <c r="H35" i="16" s="1"/>
  <c r="I35" i="16" s="1"/>
  <c r="L35" i="16"/>
  <c r="M35" i="16" s="1"/>
  <c r="G34" i="16"/>
  <c r="H34" i="16" s="1"/>
  <c r="I34" i="16" s="1"/>
  <c r="L34" i="16"/>
  <c r="M34" i="16" s="1"/>
  <c r="N34" i="16" s="1"/>
  <c r="G33" i="16"/>
  <c r="H33" i="16" s="1"/>
  <c r="I33" i="16" s="1"/>
  <c r="L33" i="16"/>
  <c r="M33" i="16" s="1"/>
  <c r="J72" i="16" l="1"/>
  <c r="J71" i="16"/>
  <c r="N71" i="16"/>
  <c r="O71" i="16" s="1"/>
  <c r="O36" i="16"/>
  <c r="N69" i="16"/>
  <c r="O69" i="16" s="1"/>
  <c r="I69" i="16"/>
  <c r="J69" i="16" s="1"/>
  <c r="N33" i="16"/>
  <c r="O33" i="16" s="1"/>
  <c r="J36" i="16"/>
  <c r="J35" i="16"/>
  <c r="N35" i="16"/>
  <c r="O35" i="16" s="1"/>
  <c r="O34" i="16"/>
  <c r="J34" i="16"/>
  <c r="J33" i="16"/>
  <c r="G32" i="16"/>
  <c r="H32" i="16" s="1"/>
  <c r="L32" i="16"/>
  <c r="M32" i="16" s="1"/>
  <c r="N32" i="16" s="1"/>
  <c r="O32" i="16" s="1"/>
  <c r="G31" i="16"/>
  <c r="H31" i="16" s="1"/>
  <c r="L31" i="16"/>
  <c r="M31" i="16" s="1"/>
  <c r="N31" i="16" s="1"/>
  <c r="G30" i="16"/>
  <c r="H30" i="16" s="1"/>
  <c r="I30" i="16" s="1"/>
  <c r="J30" i="16" s="1"/>
  <c r="L30" i="16"/>
  <c r="M30" i="16" s="1"/>
  <c r="N30" i="16" s="1"/>
  <c r="G29" i="16"/>
  <c r="H29" i="16" s="1"/>
  <c r="L29" i="16"/>
  <c r="M29" i="16" s="1"/>
  <c r="G123" i="10"/>
  <c r="H123" i="10" s="1"/>
  <c r="L123" i="10"/>
  <c r="M123" i="10" s="1"/>
  <c r="G28" i="16"/>
  <c r="H28" i="16" s="1"/>
  <c r="L28" i="16"/>
  <c r="M28" i="16" s="1"/>
  <c r="N28" i="16" s="1"/>
  <c r="O28" i="16" s="1"/>
  <c r="G27" i="16"/>
  <c r="H27" i="16" s="1"/>
  <c r="I27" i="16" s="1"/>
  <c r="J27" i="16" s="1"/>
  <c r="L27" i="16"/>
  <c r="M27" i="16" s="1"/>
  <c r="N27" i="16" s="1"/>
  <c r="G76" i="16"/>
  <c r="H76" i="16" s="1"/>
  <c r="L76" i="16"/>
  <c r="M76" i="16" s="1"/>
  <c r="N76" i="16" s="1"/>
  <c r="G75" i="16"/>
  <c r="H75" i="16" s="1"/>
  <c r="L75" i="16"/>
  <c r="M75" i="16" s="1"/>
  <c r="G68" i="16"/>
  <c r="H68" i="16" s="1"/>
  <c r="L68" i="16"/>
  <c r="M68" i="16" s="1"/>
  <c r="G67" i="16"/>
  <c r="H67" i="16" s="1"/>
  <c r="L67" i="16"/>
  <c r="M67" i="16" s="1"/>
  <c r="G26" i="16"/>
  <c r="H26" i="16" s="1"/>
  <c r="L26" i="16"/>
  <c r="M26" i="16" s="1"/>
  <c r="G25" i="16"/>
  <c r="H25" i="16" s="1"/>
  <c r="L25" i="16"/>
  <c r="M25" i="16" s="1"/>
  <c r="G24" i="16"/>
  <c r="H24" i="16" s="1"/>
  <c r="L24" i="16"/>
  <c r="M24" i="16" s="1"/>
  <c r="G23" i="16"/>
  <c r="H23" i="16" s="1"/>
  <c r="L23" i="16"/>
  <c r="M23" i="16" s="1"/>
  <c r="G22" i="16"/>
  <c r="H22" i="16" s="1"/>
  <c r="L22" i="16"/>
  <c r="M22" i="16" s="1"/>
  <c r="O30" i="16" l="1"/>
  <c r="O31" i="16"/>
  <c r="I32" i="16"/>
  <c r="J32" i="16" s="1"/>
  <c r="I31" i="16"/>
  <c r="J31" i="16" s="1"/>
  <c r="O76" i="16"/>
  <c r="N29" i="16"/>
  <c r="O29" i="16" s="1"/>
  <c r="I29" i="16"/>
  <c r="J29" i="16" s="1"/>
  <c r="O27" i="16"/>
  <c r="N123" i="10"/>
  <c r="O123" i="10" s="1"/>
  <c r="I123" i="10"/>
  <c r="J123" i="10" s="1"/>
  <c r="I28" i="16"/>
  <c r="J28" i="16" s="1"/>
  <c r="N68" i="16"/>
  <c r="O68" i="16" s="1"/>
  <c r="I76" i="16"/>
  <c r="J76" i="16" s="1"/>
  <c r="N75" i="16"/>
  <c r="O75" i="16" s="1"/>
  <c r="I75" i="16"/>
  <c r="J75" i="16" s="1"/>
  <c r="I68" i="16"/>
  <c r="J68" i="16" s="1"/>
  <c r="N67" i="16"/>
  <c r="O67" i="16" s="1"/>
  <c r="I67" i="16"/>
  <c r="J67" i="16" s="1"/>
  <c r="N26" i="16"/>
  <c r="O26" i="16" s="1"/>
  <c r="I26" i="16"/>
  <c r="J26" i="16" s="1"/>
  <c r="N25" i="16"/>
  <c r="O25" i="16" s="1"/>
  <c r="I25" i="16"/>
  <c r="J25" i="16" s="1"/>
  <c r="N24" i="16"/>
  <c r="O24" i="16" s="1"/>
  <c r="I24" i="16"/>
  <c r="J24" i="16" s="1"/>
  <c r="N23" i="16"/>
  <c r="O23" i="16" s="1"/>
  <c r="I23" i="16"/>
  <c r="J23" i="16" s="1"/>
  <c r="N22" i="16"/>
  <c r="O22" i="16" s="1"/>
  <c r="I22" i="16"/>
  <c r="J22" i="16" s="1"/>
  <c r="L74" i="16" l="1"/>
  <c r="M74" i="16" s="1"/>
  <c r="G74" i="16"/>
  <c r="H74" i="16" s="1"/>
  <c r="I74" i="16" l="1"/>
  <c r="J74" i="16" s="1"/>
  <c r="N74" i="16"/>
  <c r="O74" i="16" s="1"/>
  <c r="G19" i="8" l="1"/>
  <c r="H19" i="8" s="1"/>
  <c r="L19" i="8"/>
  <c r="M19" i="8" s="1"/>
  <c r="G122" i="10"/>
  <c r="H122" i="10" s="1"/>
  <c r="L122" i="10"/>
  <c r="M122" i="10" s="1"/>
  <c r="I19" i="8" l="1"/>
  <c r="J19" i="8" s="1"/>
  <c r="N19" i="8"/>
  <c r="O19" i="8" s="1"/>
  <c r="N122" i="10"/>
  <c r="O122" i="10" s="1"/>
  <c r="I122" i="10"/>
  <c r="J122" i="10" s="1"/>
  <c r="G36" i="18" l="1"/>
  <c r="H36" i="18" s="1"/>
  <c r="M36" i="18"/>
  <c r="N36" i="18" s="1"/>
  <c r="G37" i="18"/>
  <c r="H37" i="18" s="1"/>
  <c r="I37" i="18" s="1"/>
  <c r="J37" i="18" s="1"/>
  <c r="M37" i="18"/>
  <c r="N37" i="18" s="1"/>
  <c r="G38" i="18"/>
  <c r="H38" i="18" s="1"/>
  <c r="I38" i="18" s="1"/>
  <c r="M38" i="18"/>
  <c r="N38" i="18" s="1"/>
  <c r="G39" i="18"/>
  <c r="H39" i="18" s="1"/>
  <c r="M39" i="18"/>
  <c r="N39" i="18" s="1"/>
  <c r="G40" i="18"/>
  <c r="H40" i="18" s="1"/>
  <c r="M40" i="18"/>
  <c r="N40" i="18" s="1"/>
  <c r="O40" i="18" s="1"/>
  <c r="P40" i="18" s="1"/>
  <c r="G41" i="18"/>
  <c r="H41" i="18" s="1"/>
  <c r="I41" i="18" s="1"/>
  <c r="M41" i="18"/>
  <c r="N41" i="18" s="1"/>
  <c r="G42" i="18"/>
  <c r="H42" i="18" s="1"/>
  <c r="M42" i="18"/>
  <c r="N42" i="18" s="1"/>
  <c r="G43" i="18"/>
  <c r="H43" i="18" s="1"/>
  <c r="I43" i="18" s="1"/>
  <c r="M43" i="18"/>
  <c r="N43" i="18" s="1"/>
  <c r="O43" i="18" s="1"/>
  <c r="H44" i="18"/>
  <c r="M44" i="18"/>
  <c r="N44" i="18" s="1"/>
  <c r="G45" i="18"/>
  <c r="H45" i="18" s="1"/>
  <c r="I45" i="18" s="1"/>
  <c r="M45" i="18"/>
  <c r="N45" i="18" s="1"/>
  <c r="O45" i="18" s="1"/>
  <c r="G46" i="18"/>
  <c r="H46" i="18" s="1"/>
  <c r="I46" i="18" s="1"/>
  <c r="M46" i="18"/>
  <c r="N46" i="18" s="1"/>
  <c r="G47" i="18"/>
  <c r="H47" i="18" s="1"/>
  <c r="I47" i="18" s="1"/>
  <c r="J47" i="18" s="1"/>
  <c r="M47" i="18"/>
  <c r="N47" i="18" s="1"/>
  <c r="G48" i="18"/>
  <c r="H48" i="18" s="1"/>
  <c r="I48" i="18" s="1"/>
  <c r="M48" i="18"/>
  <c r="N48" i="18" s="1"/>
  <c r="G49" i="18"/>
  <c r="H49" i="18" s="1"/>
  <c r="I49" i="18" s="1"/>
  <c r="M49" i="18"/>
  <c r="N49" i="18" s="1"/>
  <c r="G100" i="18"/>
  <c r="H100" i="18" s="1"/>
  <c r="I100" i="18" s="1"/>
  <c r="M100" i="18"/>
  <c r="N100" i="18" s="1"/>
  <c r="G101" i="18"/>
  <c r="H101" i="18" s="1"/>
  <c r="I101" i="18" s="1"/>
  <c r="M101" i="18"/>
  <c r="N101" i="18" s="1"/>
  <c r="O101" i="18" s="1"/>
  <c r="G102" i="18"/>
  <c r="H102" i="18" s="1"/>
  <c r="M102" i="18"/>
  <c r="N102" i="18" s="1"/>
  <c r="G103" i="18"/>
  <c r="H103" i="18" s="1"/>
  <c r="I103" i="18" s="1"/>
  <c r="M103" i="18"/>
  <c r="N103" i="18" s="1"/>
  <c r="O103" i="18" s="1"/>
  <c r="I102" i="18" l="1"/>
  <c r="J102" i="18" s="1"/>
  <c r="O37" i="18"/>
  <c r="P37" i="18" s="1"/>
  <c r="P103" i="18"/>
  <c r="P43" i="18"/>
  <c r="J48" i="18"/>
  <c r="J45" i="18"/>
  <c r="O38" i="18"/>
  <c r="P38" i="18" s="1"/>
  <c r="J49" i="18"/>
  <c r="O49" i="18"/>
  <c r="P49" i="18" s="1"/>
  <c r="J103" i="18"/>
  <c r="I44" i="18"/>
  <c r="J44" i="18" s="1"/>
  <c r="O47" i="18"/>
  <c r="P47" i="18" s="1"/>
  <c r="J43" i="18"/>
  <c r="I36" i="18"/>
  <c r="J36" i="18" s="1"/>
  <c r="J101" i="18"/>
  <c r="P101" i="18"/>
  <c r="P45" i="18"/>
  <c r="J41" i="18"/>
  <c r="J38" i="18"/>
  <c r="I40" i="18"/>
  <c r="J40" i="18" s="1"/>
  <c r="I42" i="18"/>
  <c r="J42" i="18" s="1"/>
  <c r="I39" i="18"/>
  <c r="J39" i="18" s="1"/>
  <c r="J100" i="18"/>
  <c r="J46" i="18"/>
  <c r="O48" i="18"/>
  <c r="P48" i="18" s="1"/>
  <c r="O39" i="18"/>
  <c r="P39" i="18" s="1"/>
  <c r="O100" i="18"/>
  <c r="P100" i="18" s="1"/>
  <c r="O41" i="18"/>
  <c r="P41" i="18" s="1"/>
  <c r="O102" i="18"/>
  <c r="P102" i="18" s="1"/>
  <c r="O42" i="18"/>
  <c r="P42" i="18" s="1"/>
  <c r="O44" i="18"/>
  <c r="P44" i="18" s="1"/>
  <c r="O36" i="18"/>
  <c r="P36" i="18" s="1"/>
  <c r="O46" i="18"/>
  <c r="P46" i="18" s="1"/>
  <c r="L66" i="16"/>
  <c r="M66" i="16" s="1"/>
  <c r="G66" i="16"/>
  <c r="H66" i="16" s="1"/>
  <c r="G21" i="16"/>
  <c r="H21" i="16" s="1"/>
  <c r="L21" i="16"/>
  <c r="M21" i="16" s="1"/>
  <c r="N66" i="16" l="1"/>
  <c r="O66" i="16" s="1"/>
  <c r="I66" i="16"/>
  <c r="J66" i="16" s="1"/>
  <c r="N21" i="16"/>
  <c r="O21" i="16" s="1"/>
  <c r="I21" i="16"/>
  <c r="J21" i="16" s="1"/>
  <c r="G20" i="16" l="1"/>
  <c r="H20" i="16" s="1"/>
  <c r="L20" i="16"/>
  <c r="M20" i="16" s="1"/>
  <c r="N20" i="16" s="1"/>
  <c r="G19" i="16"/>
  <c r="H19" i="16" s="1"/>
  <c r="L19" i="16"/>
  <c r="M19" i="16" s="1"/>
  <c r="G18" i="16"/>
  <c r="H18" i="16" s="1"/>
  <c r="L18" i="16"/>
  <c r="M18" i="16" s="1"/>
  <c r="N18" i="16" s="1"/>
  <c r="O18" i="16" s="1"/>
  <c r="G17" i="16"/>
  <c r="H17" i="16" s="1"/>
  <c r="I17" i="16" s="1"/>
  <c r="L17" i="16"/>
  <c r="M17" i="16" s="1"/>
  <c r="I20" i="16" l="1"/>
  <c r="J20" i="16" s="1"/>
  <c r="O20" i="16"/>
  <c r="I19" i="16"/>
  <c r="J19" i="16" s="1"/>
  <c r="N19" i="16"/>
  <c r="O19" i="16" s="1"/>
  <c r="I18" i="16"/>
  <c r="J18" i="16" s="1"/>
  <c r="N17" i="16"/>
  <c r="O17" i="16" s="1"/>
  <c r="J17" i="16"/>
  <c r="G39" i="12" l="1"/>
  <c r="H39" i="12" s="1"/>
  <c r="L39" i="12"/>
  <c r="M39" i="12" s="1"/>
  <c r="G21" i="18"/>
  <c r="H21" i="18" s="1"/>
  <c r="M21" i="18"/>
  <c r="N21" i="18" s="1"/>
  <c r="G35" i="18"/>
  <c r="H35" i="18" s="1"/>
  <c r="M35" i="18"/>
  <c r="N35" i="18" s="1"/>
  <c r="G20" i="18"/>
  <c r="H20" i="18" s="1"/>
  <c r="M20" i="18"/>
  <c r="N20" i="18" s="1"/>
  <c r="G19" i="18"/>
  <c r="H19" i="18" s="1"/>
  <c r="M19" i="18"/>
  <c r="N19" i="18" s="1"/>
  <c r="O19" i="18" s="1"/>
  <c r="G18" i="18"/>
  <c r="H18" i="18" s="1"/>
  <c r="M18" i="18"/>
  <c r="N18" i="18" s="1"/>
  <c r="O18" i="18" s="1"/>
  <c r="P18" i="18" s="1"/>
  <c r="G16" i="16"/>
  <c r="H16" i="16" s="1"/>
  <c r="L16" i="16"/>
  <c r="M16" i="16" s="1"/>
  <c r="G15" i="16"/>
  <c r="H15" i="16" s="1"/>
  <c r="L15" i="16"/>
  <c r="M15" i="16" s="1"/>
  <c r="N16" i="16" l="1"/>
  <c r="O16" i="16" s="1"/>
  <c r="N39" i="12"/>
  <c r="O39" i="12" s="1"/>
  <c r="I39" i="12"/>
  <c r="J39" i="12" s="1"/>
  <c r="O21" i="18"/>
  <c r="P21" i="18" s="1"/>
  <c r="I21" i="18"/>
  <c r="J21" i="18" s="1"/>
  <c r="I35" i="18"/>
  <c r="J35" i="18" s="1"/>
  <c r="O35" i="18"/>
  <c r="P35" i="18" s="1"/>
  <c r="P19" i="18"/>
  <c r="O20" i="18"/>
  <c r="P20" i="18" s="1"/>
  <c r="I20" i="18"/>
  <c r="J20" i="18" s="1"/>
  <c r="I19" i="18"/>
  <c r="J19" i="18" s="1"/>
  <c r="I18" i="18"/>
  <c r="J18" i="18" s="1"/>
  <c r="I16" i="16"/>
  <c r="J16" i="16" s="1"/>
  <c r="N15" i="16"/>
  <c r="O15" i="16" s="1"/>
  <c r="I15" i="16"/>
  <c r="J15" i="16" s="1"/>
  <c r="G14" i="16" l="1"/>
  <c r="H14" i="16" s="1"/>
  <c r="L14" i="16"/>
  <c r="M14" i="16" s="1"/>
  <c r="G90" i="12"/>
  <c r="H90" i="12" s="1"/>
  <c r="I90" i="12" s="1"/>
  <c r="L90" i="12"/>
  <c r="M90" i="12" s="1"/>
  <c r="G38" i="12"/>
  <c r="H38" i="12" s="1"/>
  <c r="L38" i="12"/>
  <c r="M38" i="12" s="1"/>
  <c r="L96" i="11"/>
  <c r="M96" i="11" s="1"/>
  <c r="G96" i="11"/>
  <c r="H96" i="11" s="1"/>
  <c r="G37" i="12"/>
  <c r="H37" i="12" s="1"/>
  <c r="L37" i="12"/>
  <c r="M37" i="12" s="1"/>
  <c r="G32" i="11"/>
  <c r="H32" i="11" s="1"/>
  <c r="L32" i="11"/>
  <c r="M32" i="11" s="1"/>
  <c r="G79" i="11"/>
  <c r="H79" i="11" s="1"/>
  <c r="L79" i="11"/>
  <c r="M79" i="11" s="1"/>
  <c r="N79" i="11" s="1"/>
  <c r="G78" i="11"/>
  <c r="H78" i="11" s="1"/>
  <c r="L78" i="11"/>
  <c r="M78" i="11" s="1"/>
  <c r="G62" i="11"/>
  <c r="H62" i="11" s="1"/>
  <c r="L62" i="11"/>
  <c r="M62" i="11" s="1"/>
  <c r="N62" i="11" s="1"/>
  <c r="G88" i="11"/>
  <c r="H88" i="11" s="1"/>
  <c r="I88" i="11" s="1"/>
  <c r="L88" i="11"/>
  <c r="M88" i="11" s="1"/>
  <c r="N88" i="11" s="1"/>
  <c r="G31" i="11"/>
  <c r="H31" i="11" s="1"/>
  <c r="L31" i="11"/>
  <c r="M31" i="11" s="1"/>
  <c r="G30" i="11"/>
  <c r="H30" i="11" s="1"/>
  <c r="L30" i="11"/>
  <c r="M30" i="11" s="1"/>
  <c r="G61" i="11"/>
  <c r="H61" i="11" s="1"/>
  <c r="L61" i="11"/>
  <c r="M61" i="11" s="1"/>
  <c r="N61" i="11" s="1"/>
  <c r="O61" i="11" s="1"/>
  <c r="G60" i="11"/>
  <c r="H60" i="11" s="1"/>
  <c r="L60" i="11"/>
  <c r="M60" i="11" s="1"/>
  <c r="G29" i="11"/>
  <c r="H29" i="11" s="1"/>
  <c r="L29" i="11"/>
  <c r="M29" i="11" s="1"/>
  <c r="J90" i="12" l="1"/>
  <c r="N90" i="12"/>
  <c r="O90" i="12"/>
  <c r="N14" i="16"/>
  <c r="O14" i="16" s="1"/>
  <c r="I14" i="16"/>
  <c r="J14" i="16" s="1"/>
  <c r="N30" i="11"/>
  <c r="O30" i="11" s="1"/>
  <c r="N38" i="12"/>
  <c r="O38" i="12" s="1"/>
  <c r="I38" i="12"/>
  <c r="J38" i="12" s="1"/>
  <c r="I96" i="11"/>
  <c r="J96" i="11" s="1"/>
  <c r="N96" i="11"/>
  <c r="O96" i="11" s="1"/>
  <c r="N37" i="12"/>
  <c r="O37" i="12" s="1"/>
  <c r="I37" i="12"/>
  <c r="J37" i="12" s="1"/>
  <c r="N32" i="11"/>
  <c r="O32" i="11" s="1"/>
  <c r="I32" i="11"/>
  <c r="J32" i="11" s="1"/>
  <c r="O88" i="11"/>
  <c r="I79" i="11"/>
  <c r="J79" i="11" s="1"/>
  <c r="O79" i="11"/>
  <c r="N78" i="11"/>
  <c r="O78" i="11" s="1"/>
  <c r="I78" i="11"/>
  <c r="J78" i="11" s="1"/>
  <c r="I62" i="11"/>
  <c r="J62" i="11" s="1"/>
  <c r="O62" i="11"/>
  <c r="J88" i="11"/>
  <c r="N31" i="11"/>
  <c r="O31" i="11" s="1"/>
  <c r="I31" i="11"/>
  <c r="J31" i="11" s="1"/>
  <c r="I30" i="11"/>
  <c r="J30" i="11" s="1"/>
  <c r="I61" i="11"/>
  <c r="J61" i="11" s="1"/>
  <c r="N60" i="11"/>
  <c r="O60" i="11" s="1"/>
  <c r="I60" i="11"/>
  <c r="J60" i="11" s="1"/>
  <c r="I29" i="11"/>
  <c r="J29" i="11" s="1"/>
  <c r="N29" i="11"/>
  <c r="O29" i="11" s="1"/>
  <c r="G28" i="11" l="1"/>
  <c r="H28" i="11" s="1"/>
  <c r="I28" i="11" s="1"/>
  <c r="L28" i="11"/>
  <c r="M28" i="11" s="1"/>
  <c r="G27" i="11"/>
  <c r="H27" i="11" s="1"/>
  <c r="L27" i="11"/>
  <c r="M27" i="11" s="1"/>
  <c r="G26" i="11"/>
  <c r="H26" i="11" s="1"/>
  <c r="L26" i="11"/>
  <c r="M26" i="11" s="1"/>
  <c r="G25" i="11"/>
  <c r="H25" i="11" s="1"/>
  <c r="L25" i="11"/>
  <c r="M25" i="11" s="1"/>
  <c r="G24" i="11"/>
  <c r="H24" i="11" s="1"/>
  <c r="I24" i="11" s="1"/>
  <c r="J24" i="11" s="1"/>
  <c r="L24" i="11"/>
  <c r="M24" i="11" s="1"/>
  <c r="G109" i="10"/>
  <c r="H109" i="10" s="1"/>
  <c r="L109" i="10"/>
  <c r="M109" i="10" s="1"/>
  <c r="L87" i="11"/>
  <c r="M87" i="11" s="1"/>
  <c r="G87" i="11"/>
  <c r="H87" i="11" s="1"/>
  <c r="G36" i="12"/>
  <c r="H36" i="12" s="1"/>
  <c r="I36" i="12" s="1"/>
  <c r="L36" i="12"/>
  <c r="M36" i="12" s="1"/>
  <c r="N36" i="12" s="1"/>
  <c r="O36" i="12" s="1"/>
  <c r="N28" i="11" l="1"/>
  <c r="O28" i="11" s="1"/>
  <c r="J28" i="11"/>
  <c r="I27" i="11"/>
  <c r="J27" i="11" s="1"/>
  <c r="N27" i="11"/>
  <c r="O27" i="11" s="1"/>
  <c r="I26" i="11"/>
  <c r="J26" i="11" s="1"/>
  <c r="N26" i="11"/>
  <c r="O26" i="11" s="1"/>
  <c r="N25" i="11"/>
  <c r="O25" i="11" s="1"/>
  <c r="I25" i="11"/>
  <c r="J25" i="11" s="1"/>
  <c r="N24" i="11"/>
  <c r="O24" i="11" s="1"/>
  <c r="I109" i="10"/>
  <c r="J109" i="10" s="1"/>
  <c r="N109" i="10"/>
  <c r="O109" i="10" s="1"/>
  <c r="N87" i="11"/>
  <c r="O87" i="11" s="1"/>
  <c r="I87" i="11"/>
  <c r="J87" i="11" s="1"/>
  <c r="J36" i="12"/>
  <c r="G35" i="12" l="1"/>
  <c r="H35" i="12" s="1"/>
  <c r="L35" i="12"/>
  <c r="M35" i="12" s="1"/>
  <c r="G34" i="12"/>
  <c r="H34" i="12" s="1"/>
  <c r="L34" i="12"/>
  <c r="M34" i="12" s="1"/>
  <c r="G13" i="16"/>
  <c r="H13" i="16" s="1"/>
  <c r="L13" i="16"/>
  <c r="M13" i="16" s="1"/>
  <c r="G77" i="11"/>
  <c r="H77" i="11" s="1"/>
  <c r="L77" i="11"/>
  <c r="M77" i="11" s="1"/>
  <c r="N77" i="11" s="1"/>
  <c r="G23" i="11"/>
  <c r="H23" i="11" s="1"/>
  <c r="L23" i="11"/>
  <c r="M23" i="11" s="1"/>
  <c r="N23" i="11" s="1"/>
  <c r="O23" i="11" s="1"/>
  <c r="G22" i="11"/>
  <c r="H22" i="11" s="1"/>
  <c r="L22" i="11"/>
  <c r="M22" i="11" s="1"/>
  <c r="G21" i="11"/>
  <c r="H21" i="11" s="1"/>
  <c r="I21" i="11" s="1"/>
  <c r="L21" i="11"/>
  <c r="M21" i="11" s="1"/>
  <c r="G20" i="11"/>
  <c r="H20" i="11" s="1"/>
  <c r="L20" i="11"/>
  <c r="M20" i="11" s="1"/>
  <c r="N20" i="11" s="1"/>
  <c r="G19" i="11"/>
  <c r="H19" i="11" s="1"/>
  <c r="L19" i="11"/>
  <c r="M19" i="11" s="1"/>
  <c r="G33" i="12"/>
  <c r="H33" i="12" s="1"/>
  <c r="L33" i="12"/>
  <c r="M33" i="12" s="1"/>
  <c r="N33" i="12" l="1"/>
  <c r="O33" i="12" s="1"/>
  <c r="N35" i="12"/>
  <c r="O35" i="12" s="1"/>
  <c r="I35" i="12"/>
  <c r="J35" i="12" s="1"/>
  <c r="I34" i="12"/>
  <c r="J34" i="12" s="1"/>
  <c r="N34" i="12"/>
  <c r="O34" i="12" s="1"/>
  <c r="N13" i="16"/>
  <c r="O13" i="16" s="1"/>
  <c r="I13" i="16"/>
  <c r="J13" i="16" s="1"/>
  <c r="I77" i="11"/>
  <c r="J77" i="11" s="1"/>
  <c r="O77" i="11"/>
  <c r="I23" i="11"/>
  <c r="J23" i="11" s="1"/>
  <c r="N22" i="11"/>
  <c r="O22" i="11" s="1"/>
  <c r="I22" i="11"/>
  <c r="J22" i="11" s="1"/>
  <c r="J21" i="11"/>
  <c r="N21" i="11"/>
  <c r="O21" i="11" s="1"/>
  <c r="I20" i="11"/>
  <c r="J20" i="11" s="1"/>
  <c r="O20" i="11"/>
  <c r="N19" i="11"/>
  <c r="O19" i="11" s="1"/>
  <c r="I19" i="11"/>
  <c r="J19" i="11" s="1"/>
  <c r="I33" i="12"/>
  <c r="J33" i="12" s="1"/>
  <c r="G17" i="10" l="1"/>
  <c r="H17" i="10" s="1"/>
  <c r="I17" i="10" s="1"/>
  <c r="L17" i="10"/>
  <c r="M17" i="10" s="1"/>
  <c r="G140" i="18"/>
  <c r="H140" i="18" s="1"/>
  <c r="M140" i="18"/>
  <c r="N140" i="18" s="1"/>
  <c r="M139" i="18"/>
  <c r="N139" i="18" s="1"/>
  <c r="O139" i="18" s="1"/>
  <c r="G139" i="18"/>
  <c r="H139" i="18" s="1"/>
  <c r="I139" i="18" s="1"/>
  <c r="J17" i="10" l="1"/>
  <c r="N17" i="10"/>
  <c r="O17" i="10" s="1"/>
  <c r="I140" i="18"/>
  <c r="J140" i="18" s="1"/>
  <c r="O140" i="18"/>
  <c r="P140" i="18" s="1"/>
  <c r="J139" i="18"/>
  <c r="P139" i="18"/>
  <c r="L66" i="10" l="1"/>
  <c r="M66" i="10" s="1"/>
  <c r="G66" i="10"/>
  <c r="H66" i="10" s="1"/>
  <c r="G65" i="10"/>
  <c r="H65" i="10" s="1"/>
  <c r="L65" i="10"/>
  <c r="M65" i="10" s="1"/>
  <c r="I66" i="10" l="1"/>
  <c r="J66" i="10" s="1"/>
  <c r="N66" i="10"/>
  <c r="O66" i="10" s="1"/>
  <c r="N65" i="10"/>
  <c r="O65" i="10" s="1"/>
  <c r="I65" i="10"/>
  <c r="J65" i="10" s="1"/>
  <c r="G121" i="10" l="1"/>
  <c r="H121" i="10" s="1"/>
  <c r="L121" i="10"/>
  <c r="M121" i="10" s="1"/>
  <c r="G120" i="10"/>
  <c r="H120" i="10" s="1"/>
  <c r="L120" i="10"/>
  <c r="M120" i="10" s="1"/>
  <c r="G108" i="10"/>
  <c r="H108" i="10" s="1"/>
  <c r="L108" i="10"/>
  <c r="M108" i="10" s="1"/>
  <c r="G32" i="12"/>
  <c r="H32" i="12" s="1"/>
  <c r="L32" i="12"/>
  <c r="M32" i="12" s="1"/>
  <c r="I121" i="10" l="1"/>
  <c r="J121" i="10" s="1"/>
  <c r="N121" i="10"/>
  <c r="O121" i="10" s="1"/>
  <c r="N120" i="10"/>
  <c r="O120" i="10" s="1"/>
  <c r="I120" i="10"/>
  <c r="J120" i="10" s="1"/>
  <c r="I108" i="10"/>
  <c r="J108" i="10" s="1"/>
  <c r="N108" i="10"/>
  <c r="O108" i="10" s="1"/>
  <c r="N32" i="12"/>
  <c r="O32" i="12" s="1"/>
  <c r="I32" i="12"/>
  <c r="J32" i="12" s="1"/>
  <c r="G17" i="18"/>
  <c r="H17" i="18" s="1"/>
  <c r="M17" i="18"/>
  <c r="N17" i="18" s="1"/>
  <c r="G16" i="18"/>
  <c r="H16" i="18" s="1"/>
  <c r="M16" i="18"/>
  <c r="N16" i="18" s="1"/>
  <c r="I17" i="18" l="1"/>
  <c r="J17" i="18" s="1"/>
  <c r="O17" i="18"/>
  <c r="P17" i="18" s="1"/>
  <c r="O16" i="18"/>
  <c r="P16" i="18" s="1"/>
  <c r="I16" i="18"/>
  <c r="J16" i="18" s="1"/>
  <c r="M15" i="18"/>
  <c r="N15" i="18" s="1"/>
  <c r="G15" i="18"/>
  <c r="H15" i="18" s="1"/>
  <c r="O15" i="18" l="1"/>
  <c r="P15" i="18" s="1"/>
  <c r="I15" i="18"/>
  <c r="J15" i="18" s="1"/>
  <c r="G34" i="18"/>
  <c r="H34" i="18" s="1"/>
  <c r="M34" i="18"/>
  <c r="N34" i="18" s="1"/>
  <c r="G33" i="18"/>
  <c r="H33" i="18" s="1"/>
  <c r="M33" i="18"/>
  <c r="N33" i="18" s="1"/>
  <c r="G32" i="18"/>
  <c r="H32" i="18" s="1"/>
  <c r="M32" i="18"/>
  <c r="N32" i="18" s="1"/>
  <c r="G31" i="18"/>
  <c r="H31" i="18" s="1"/>
  <c r="I31" i="18" s="1"/>
  <c r="J31" i="18" s="1"/>
  <c r="M31" i="18"/>
  <c r="N31" i="18" s="1"/>
  <c r="O31" i="18" s="1"/>
  <c r="P31" i="18" s="1"/>
  <c r="M30" i="18"/>
  <c r="N30" i="18" s="1"/>
  <c r="O30" i="18" s="1"/>
  <c r="P30" i="18" s="1"/>
  <c r="G30" i="18"/>
  <c r="H30" i="18" s="1"/>
  <c r="I30" i="18" s="1"/>
  <c r="J30" i="18" s="1"/>
  <c r="G76" i="11"/>
  <c r="H76" i="11" s="1"/>
  <c r="L76" i="11"/>
  <c r="M76" i="11" s="1"/>
  <c r="O34" i="18" l="1"/>
  <c r="P34" i="18" s="1"/>
  <c r="I34" i="18"/>
  <c r="J34" i="18" s="1"/>
  <c r="I33" i="18"/>
  <c r="J33" i="18" s="1"/>
  <c r="O33" i="18"/>
  <c r="P33" i="18" s="1"/>
  <c r="I32" i="18"/>
  <c r="J32" i="18" s="1"/>
  <c r="O32" i="18"/>
  <c r="P32" i="18" s="1"/>
  <c r="I76" i="11"/>
  <c r="J76" i="11" s="1"/>
  <c r="N76" i="11"/>
  <c r="O76" i="11" s="1"/>
  <c r="M27" i="18"/>
  <c r="N27" i="18" s="1"/>
  <c r="G27" i="18"/>
  <c r="H27" i="18" s="1"/>
  <c r="O27" i="18" l="1"/>
  <c r="P27" i="18" s="1"/>
  <c r="I27" i="18"/>
  <c r="J27" i="18" s="1"/>
  <c r="G14" i="18" l="1"/>
  <c r="H14" i="18" s="1"/>
  <c r="M14" i="18"/>
  <c r="N14" i="18" s="1"/>
  <c r="G13" i="18"/>
  <c r="H13" i="18" s="1"/>
  <c r="M13" i="18"/>
  <c r="N13" i="18" s="1"/>
  <c r="M12" i="18"/>
  <c r="N12" i="18" s="1"/>
  <c r="G12" i="18"/>
  <c r="H12" i="18" s="1"/>
  <c r="I14" i="18" l="1"/>
  <c r="J14" i="18" s="1"/>
  <c r="O14" i="18"/>
  <c r="P14" i="18" s="1"/>
  <c r="I13" i="18"/>
  <c r="J13" i="18" s="1"/>
  <c r="O13" i="18"/>
  <c r="P13" i="18" s="1"/>
  <c r="O12" i="18"/>
  <c r="P12" i="18" s="1"/>
  <c r="I12" i="18"/>
  <c r="J12" i="18" s="1"/>
  <c r="G31" i="12" l="1"/>
  <c r="H31" i="12" s="1"/>
  <c r="L31" i="12"/>
  <c r="M31" i="12" s="1"/>
  <c r="N31" i="12" s="1"/>
  <c r="O31" i="12" s="1"/>
  <c r="G30" i="12"/>
  <c r="H30" i="12" s="1"/>
  <c r="L30" i="12"/>
  <c r="M30" i="12" s="1"/>
  <c r="G18" i="8"/>
  <c r="H18" i="8" s="1"/>
  <c r="L18" i="8"/>
  <c r="M18" i="8" s="1"/>
  <c r="I31" i="12" l="1"/>
  <c r="J31" i="12" s="1"/>
  <c r="N30" i="12"/>
  <c r="O30" i="12" s="1"/>
  <c r="I30" i="12"/>
  <c r="J30" i="12" s="1"/>
  <c r="I18" i="8"/>
  <c r="J18" i="8" s="1"/>
  <c r="N18" i="8"/>
  <c r="O18" i="8" s="1"/>
  <c r="G29" i="12" l="1"/>
  <c r="H29" i="12" s="1"/>
  <c r="L29" i="12"/>
  <c r="M29" i="12" s="1"/>
  <c r="N29" i="12" l="1"/>
  <c r="O29" i="12" s="1"/>
  <c r="I29" i="12"/>
  <c r="J29" i="12" s="1"/>
  <c r="G92" i="10"/>
  <c r="H92" i="10" s="1"/>
  <c r="L92" i="10"/>
  <c r="M92" i="10" s="1"/>
  <c r="I92" i="10" l="1"/>
  <c r="J92" i="10" s="1"/>
  <c r="N92" i="10"/>
  <c r="O92" i="10" s="1"/>
  <c r="G107" i="10" l="1"/>
  <c r="H107" i="10" s="1"/>
  <c r="L107" i="10"/>
  <c r="M107" i="10" s="1"/>
  <c r="I107" i="10" l="1"/>
  <c r="J107" i="10" s="1"/>
  <c r="N107" i="10"/>
  <c r="O107" i="10" s="1"/>
  <c r="G17" i="8" l="1"/>
  <c r="H17" i="8" s="1"/>
  <c r="L17" i="8"/>
  <c r="M17" i="8" s="1"/>
  <c r="G28" i="12"/>
  <c r="H28" i="12" s="1"/>
  <c r="L28" i="12"/>
  <c r="M28" i="12" s="1"/>
  <c r="G59" i="11"/>
  <c r="H59" i="11" s="1"/>
  <c r="L59" i="11"/>
  <c r="M59" i="11" s="1"/>
  <c r="G75" i="11"/>
  <c r="H75" i="11" s="1"/>
  <c r="L75" i="11"/>
  <c r="M75" i="11" s="1"/>
  <c r="G58" i="11"/>
  <c r="H58" i="11" s="1"/>
  <c r="L58" i="11"/>
  <c r="M58" i="11" s="1"/>
  <c r="G57" i="11"/>
  <c r="H57" i="11" s="1"/>
  <c r="L57" i="11"/>
  <c r="M57" i="11" s="1"/>
  <c r="G56" i="11"/>
  <c r="H56" i="11" s="1"/>
  <c r="L56" i="11"/>
  <c r="M56" i="11" s="1"/>
  <c r="G18" i="11"/>
  <c r="H18" i="11" s="1"/>
  <c r="L18" i="11"/>
  <c r="M18" i="11" s="1"/>
  <c r="G17" i="11"/>
  <c r="H17" i="11" s="1"/>
  <c r="L17" i="11"/>
  <c r="M17" i="11" s="1"/>
  <c r="G16" i="11"/>
  <c r="H16" i="11" s="1"/>
  <c r="L16" i="11"/>
  <c r="M16" i="11" s="1"/>
  <c r="G15" i="11"/>
  <c r="H15" i="11" s="1"/>
  <c r="L15" i="11"/>
  <c r="M15" i="11" s="1"/>
  <c r="G27" i="12"/>
  <c r="H27" i="12" s="1"/>
  <c r="L27" i="12"/>
  <c r="M27" i="12" s="1"/>
  <c r="I17" i="8" l="1"/>
  <c r="J17" i="8" s="1"/>
  <c r="N17" i="8"/>
  <c r="O17" i="8" s="1"/>
  <c r="N28" i="12"/>
  <c r="O28" i="12" s="1"/>
  <c r="I28" i="12"/>
  <c r="J28" i="12" s="1"/>
  <c r="I59" i="11"/>
  <c r="J59" i="11" s="1"/>
  <c r="N59" i="11"/>
  <c r="O59" i="11" s="1"/>
  <c r="I75" i="11"/>
  <c r="J75" i="11" s="1"/>
  <c r="N75" i="11"/>
  <c r="O75" i="11" s="1"/>
  <c r="N58" i="11"/>
  <c r="O58" i="11" s="1"/>
  <c r="I58" i="11"/>
  <c r="J58" i="11" s="1"/>
  <c r="I57" i="11"/>
  <c r="J57" i="11" s="1"/>
  <c r="N57" i="11"/>
  <c r="O57" i="11" s="1"/>
  <c r="I56" i="11"/>
  <c r="J56" i="11" s="1"/>
  <c r="N56" i="11"/>
  <c r="O56" i="11" s="1"/>
  <c r="I18" i="11"/>
  <c r="J18" i="11" s="1"/>
  <c r="N18" i="11"/>
  <c r="O18" i="11" s="1"/>
  <c r="N17" i="11"/>
  <c r="O17" i="11" s="1"/>
  <c r="I17" i="11"/>
  <c r="J17" i="11" s="1"/>
  <c r="I16" i="11"/>
  <c r="J16" i="11" s="1"/>
  <c r="N16" i="11"/>
  <c r="O16" i="11" s="1"/>
  <c r="I15" i="11"/>
  <c r="J15" i="11" s="1"/>
  <c r="N15" i="11"/>
  <c r="O15" i="11" s="1"/>
  <c r="I27" i="12"/>
  <c r="J27" i="12" s="1"/>
  <c r="N27" i="12"/>
  <c r="O27" i="12" s="1"/>
  <c r="G16" i="10" l="1"/>
  <c r="H16" i="10" s="1"/>
  <c r="L16" i="10"/>
  <c r="M16" i="10" s="1"/>
  <c r="G15" i="10"/>
  <c r="H15" i="10" s="1"/>
  <c r="L15" i="10"/>
  <c r="M15" i="10" s="1"/>
  <c r="N16" i="10" l="1"/>
  <c r="O16" i="10" s="1"/>
  <c r="I16" i="10"/>
  <c r="J16" i="10" s="1"/>
  <c r="I15" i="10"/>
  <c r="J15" i="10" s="1"/>
  <c r="N15" i="10"/>
  <c r="O15" i="10" s="1"/>
  <c r="G26" i="12" l="1"/>
  <c r="H26" i="12" s="1"/>
  <c r="L26" i="12"/>
  <c r="M26" i="12" s="1"/>
  <c r="G25" i="12"/>
  <c r="H25" i="12" s="1"/>
  <c r="L25" i="12"/>
  <c r="M25" i="12" s="1"/>
  <c r="I26" i="12" l="1"/>
  <c r="J26" i="12" s="1"/>
  <c r="N26" i="12"/>
  <c r="O26" i="12" s="1"/>
  <c r="I25" i="12"/>
  <c r="J25" i="12" s="1"/>
  <c r="N25" i="12"/>
  <c r="O25" i="12" s="1"/>
  <c r="G132" i="10"/>
  <c r="H132" i="10" s="1"/>
  <c r="L132" i="10"/>
  <c r="M132" i="10" s="1"/>
  <c r="I132" i="10" l="1"/>
  <c r="J132" i="10" s="1"/>
  <c r="N132" i="10"/>
  <c r="O132" i="10" s="1"/>
  <c r="G16" i="8"/>
  <c r="H16" i="8" s="1"/>
  <c r="L16" i="8"/>
  <c r="M16" i="8" s="1"/>
  <c r="N16" i="8" l="1"/>
  <c r="O16" i="8" s="1"/>
  <c r="I16" i="8"/>
  <c r="J16" i="8" s="1"/>
  <c r="G24" i="12" l="1"/>
  <c r="H24" i="12" s="1"/>
  <c r="L24" i="12"/>
  <c r="M24" i="12" s="1"/>
  <c r="I24" i="12" l="1"/>
  <c r="J24" i="12" s="1"/>
  <c r="N24" i="12"/>
  <c r="O24" i="12" s="1"/>
  <c r="G91" i="10"/>
  <c r="H91" i="10" s="1"/>
  <c r="I91" i="10" s="1"/>
  <c r="L91" i="10"/>
  <c r="M91" i="10" s="1"/>
  <c r="N91" i="10" s="1"/>
  <c r="O91" i="10" l="1"/>
  <c r="J91" i="10"/>
  <c r="G64" i="10" l="1"/>
  <c r="H64" i="10" s="1"/>
  <c r="I64" i="10" s="1"/>
  <c r="J64" i="10" s="1"/>
  <c r="L64" i="10"/>
  <c r="M64" i="10" s="1"/>
  <c r="N64" i="10" s="1"/>
  <c r="O64" i="10" s="1"/>
  <c r="G52" i="10"/>
  <c r="H52" i="10" s="1"/>
  <c r="G23" i="12"/>
  <c r="H23" i="12" s="1"/>
  <c r="L23" i="12"/>
  <c r="M23" i="12" s="1"/>
  <c r="G22" i="12"/>
  <c r="H22" i="12" s="1"/>
  <c r="L22" i="12"/>
  <c r="M22" i="12" s="1"/>
  <c r="I52" i="10" l="1"/>
  <c r="J52" i="10" s="1"/>
  <c r="I23" i="12"/>
  <c r="J23" i="12" s="1"/>
  <c r="N23" i="12"/>
  <c r="O23" i="12" s="1"/>
  <c r="I22" i="12"/>
  <c r="J22" i="12" s="1"/>
  <c r="N22" i="12"/>
  <c r="O22" i="12" s="1"/>
  <c r="G21" i="12" l="1"/>
  <c r="H21" i="12" s="1"/>
  <c r="L21" i="12"/>
  <c r="M21" i="12" s="1"/>
  <c r="I21" i="12" l="1"/>
  <c r="J21" i="12" s="1"/>
  <c r="N21" i="12"/>
  <c r="O21" i="12" s="1"/>
  <c r="G15" i="8" l="1"/>
  <c r="H15" i="8" s="1"/>
  <c r="L15" i="8"/>
  <c r="M15" i="8" s="1"/>
  <c r="I15" i="8" l="1"/>
  <c r="J15" i="8" s="1"/>
  <c r="N15" i="8"/>
  <c r="O15" i="8" s="1"/>
  <c r="L12" i="16" l="1"/>
  <c r="M12" i="16" s="1"/>
  <c r="N12" i="16" s="1"/>
  <c r="G12" i="16"/>
  <c r="H12" i="16" s="1"/>
  <c r="I12" i="16" s="1"/>
  <c r="J12" i="16" s="1"/>
  <c r="O12" i="16" l="1"/>
  <c r="G20" i="12" l="1"/>
  <c r="H20" i="12" s="1"/>
  <c r="L20" i="12"/>
  <c r="M20" i="12" s="1"/>
  <c r="I20" i="12" l="1"/>
  <c r="J20" i="12" s="1"/>
  <c r="N20" i="12"/>
  <c r="O20" i="12" s="1"/>
  <c r="G19" i="12" l="1"/>
  <c r="H19" i="12" s="1"/>
  <c r="L19" i="12"/>
  <c r="M19" i="12" s="1"/>
  <c r="I19" i="12" l="1"/>
  <c r="J19" i="12" s="1"/>
  <c r="N19" i="12"/>
  <c r="O19" i="12" s="1"/>
  <c r="G14" i="10" l="1"/>
  <c r="H14" i="10" s="1"/>
  <c r="I14" i="10" s="1"/>
  <c r="L14" i="10"/>
  <c r="M14" i="10" s="1"/>
  <c r="N14" i="10" s="1"/>
  <c r="O14" i="10" l="1"/>
  <c r="J14" i="10"/>
  <c r="G18" i="12"/>
  <c r="H18" i="12" s="1"/>
  <c r="I18" i="12" s="1"/>
  <c r="J18" i="12" s="1"/>
  <c r="L18" i="12"/>
  <c r="M18" i="12" s="1"/>
  <c r="N18" i="12" l="1"/>
  <c r="O18" i="12" s="1"/>
  <c r="G17" i="12" l="1"/>
  <c r="H17" i="12" s="1"/>
  <c r="L17" i="12"/>
  <c r="M17" i="12" s="1"/>
  <c r="G119" i="10"/>
  <c r="H119" i="10" s="1"/>
  <c r="L119" i="10"/>
  <c r="M119" i="10" s="1"/>
  <c r="G118" i="10"/>
  <c r="H118" i="10" s="1"/>
  <c r="L118" i="10"/>
  <c r="M118" i="10" s="1"/>
  <c r="G16" i="12"/>
  <c r="H16" i="12" s="1"/>
  <c r="L16" i="12"/>
  <c r="M16" i="12" s="1"/>
  <c r="I17" i="12" l="1"/>
  <c r="J17" i="12" s="1"/>
  <c r="N17" i="12"/>
  <c r="O17" i="12" s="1"/>
  <c r="I119" i="10"/>
  <c r="J119" i="10" s="1"/>
  <c r="N119" i="10"/>
  <c r="O119" i="10" s="1"/>
  <c r="I118" i="10"/>
  <c r="J118" i="10" s="1"/>
  <c r="N118" i="10"/>
  <c r="O118" i="10" s="1"/>
  <c r="I16" i="12"/>
  <c r="J16" i="12" s="1"/>
  <c r="N16" i="12"/>
  <c r="O16" i="12" s="1"/>
  <c r="G15" i="12"/>
  <c r="H15" i="12" s="1"/>
  <c r="L15" i="12"/>
  <c r="M15" i="12" s="1"/>
  <c r="G14" i="12"/>
  <c r="H14" i="12" s="1"/>
  <c r="L14" i="12"/>
  <c r="M14" i="12" s="1"/>
  <c r="I15" i="12" l="1"/>
  <c r="J15" i="12" s="1"/>
  <c r="N15" i="12"/>
  <c r="O15" i="12" s="1"/>
  <c r="I14" i="12"/>
  <c r="J14" i="12" s="1"/>
  <c r="N14" i="12"/>
  <c r="O14" i="12" s="1"/>
  <c r="G117" i="10" l="1"/>
  <c r="H117" i="10" s="1"/>
  <c r="L117" i="10"/>
  <c r="M117" i="10" s="1"/>
  <c r="I117" i="10" l="1"/>
  <c r="J117" i="10" s="1"/>
  <c r="N117" i="10"/>
  <c r="O117" i="10" s="1"/>
  <c r="G74" i="11" l="1"/>
  <c r="H74" i="11" s="1"/>
  <c r="L74" i="11"/>
  <c r="M74" i="11" s="1"/>
  <c r="L71" i="11"/>
  <c r="M71" i="11" s="1"/>
  <c r="N71" i="11" s="1"/>
  <c r="O71" i="11" s="1"/>
  <c r="G71" i="11"/>
  <c r="H71" i="11" s="1"/>
  <c r="I71" i="11" s="1"/>
  <c r="J71" i="11" s="1"/>
  <c r="G14" i="11"/>
  <c r="H14" i="11" s="1"/>
  <c r="L14" i="11"/>
  <c r="M14" i="11" s="1"/>
  <c r="G13" i="11"/>
  <c r="H13" i="11" s="1"/>
  <c r="I13" i="11" s="1"/>
  <c r="L13" i="11"/>
  <c r="M13" i="11" s="1"/>
  <c r="N13" i="11" s="1"/>
  <c r="G131" i="10"/>
  <c r="H131" i="10" s="1"/>
  <c r="L131" i="10"/>
  <c r="M131" i="10" s="1"/>
  <c r="G130" i="10"/>
  <c r="H130" i="10" s="1"/>
  <c r="I130" i="10" s="1"/>
  <c r="J130" i="10" s="1"/>
  <c r="L130" i="10"/>
  <c r="M130" i="10" s="1"/>
  <c r="N130" i="10" s="1"/>
  <c r="O130" i="10" s="1"/>
  <c r="L136" i="10"/>
  <c r="M136" i="10" s="1"/>
  <c r="L115" i="10"/>
  <c r="M115" i="10" s="1"/>
  <c r="L116" i="10"/>
  <c r="M116" i="10" s="1"/>
  <c r="L114" i="10"/>
  <c r="M114" i="10" s="1"/>
  <c r="L103" i="10"/>
  <c r="M103" i="10" s="1"/>
  <c r="L104" i="10"/>
  <c r="M104" i="10" s="1"/>
  <c r="L105" i="10"/>
  <c r="M105" i="10" s="1"/>
  <c r="L106" i="10"/>
  <c r="M106" i="10" s="1"/>
  <c r="L102" i="10"/>
  <c r="M102" i="10" s="1"/>
  <c r="L90" i="10"/>
  <c r="M90" i="10" s="1"/>
  <c r="L59" i="10"/>
  <c r="M59" i="10" s="1"/>
  <c r="L60" i="10"/>
  <c r="M60" i="10" s="1"/>
  <c r="L61" i="10"/>
  <c r="M61" i="10" s="1"/>
  <c r="L62" i="10"/>
  <c r="M62" i="10" s="1"/>
  <c r="L63" i="10"/>
  <c r="M63" i="10" s="1"/>
  <c r="L58" i="10"/>
  <c r="M58" i="10" s="1"/>
  <c r="I74" i="11" l="1"/>
  <c r="J74" i="11" s="1"/>
  <c r="N74" i="11"/>
  <c r="O74" i="11" s="1"/>
  <c r="N14" i="11"/>
  <c r="O14" i="11" s="1"/>
  <c r="I14" i="11"/>
  <c r="J14" i="11" s="1"/>
  <c r="O13" i="11"/>
  <c r="J13" i="11"/>
  <c r="I131" i="10"/>
  <c r="J131" i="10" s="1"/>
  <c r="N131" i="10"/>
  <c r="O131" i="10" s="1"/>
  <c r="L13" i="12" l="1"/>
  <c r="M13" i="12" s="1"/>
  <c r="L12" i="12"/>
  <c r="M12" i="12" s="1"/>
  <c r="N12" i="12" s="1"/>
  <c r="O12" i="12" s="1"/>
  <c r="L55" i="11"/>
  <c r="M55" i="11" s="1"/>
  <c r="L73" i="11"/>
  <c r="M73" i="11" s="1"/>
  <c r="N73" i="11" s="1"/>
  <c r="O73" i="11" s="1"/>
  <c r="L54" i="11"/>
  <c r="M54" i="11" s="1"/>
  <c r="N54" i="11" s="1"/>
  <c r="O54" i="11" s="1"/>
  <c r="L12" i="11"/>
  <c r="M12" i="11" s="1"/>
  <c r="N12" i="11" s="1"/>
  <c r="O12" i="11" s="1"/>
  <c r="G12" i="11"/>
  <c r="H12" i="11" s="1"/>
  <c r="M41" i="10"/>
  <c r="L40" i="10"/>
  <c r="M40" i="10" s="1"/>
  <c r="L39" i="10"/>
  <c r="M39" i="10" s="1"/>
  <c r="L13" i="10"/>
  <c r="M13" i="10" s="1"/>
  <c r="L12" i="10"/>
  <c r="M12" i="10" s="1"/>
  <c r="L29" i="8"/>
  <c r="M29" i="8" s="1"/>
  <c r="L27" i="8"/>
  <c r="M27" i="8" s="1"/>
  <c r="L23" i="8"/>
  <c r="M23" i="8" s="1"/>
  <c r="L14" i="8"/>
  <c r="M14" i="8" s="1"/>
  <c r="L13" i="8"/>
  <c r="M13" i="8" s="1"/>
  <c r="L12" i="8"/>
  <c r="M12" i="8" s="1"/>
  <c r="N13" i="12" l="1"/>
  <c r="O13" i="12" s="1"/>
  <c r="N55" i="11"/>
  <c r="O55" i="11" s="1"/>
  <c r="I12" i="11"/>
  <c r="J12" i="11" s="1"/>
  <c r="N105" i="10"/>
  <c r="O105" i="10" s="1"/>
  <c r="N62" i="10"/>
  <c r="O62" i="10" s="1"/>
  <c r="N58" i="10"/>
  <c r="O58" i="10" s="1"/>
  <c r="N136" i="10"/>
  <c r="O136" i="10" s="1"/>
  <c r="N114" i="10"/>
  <c r="O114" i="10" s="1"/>
  <c r="N104" i="10"/>
  <c r="O104" i="10" s="1"/>
  <c r="N90" i="10"/>
  <c r="O90" i="10" s="1"/>
  <c r="N61" i="10"/>
  <c r="O61" i="10" s="1"/>
  <c r="N115" i="10"/>
  <c r="O115" i="10" s="1"/>
  <c r="N103" i="10"/>
  <c r="O103" i="10" s="1"/>
  <c r="N60" i="10"/>
  <c r="O60" i="10" s="1"/>
  <c r="N116" i="10"/>
  <c r="O116" i="10" s="1"/>
  <c r="N106" i="10"/>
  <c r="O106" i="10" s="1"/>
  <c r="N102" i="10"/>
  <c r="O102" i="10" s="1"/>
  <c r="N63" i="10"/>
  <c r="O63" i="10" s="1"/>
  <c r="N59" i="10"/>
  <c r="O59" i="10" s="1"/>
  <c r="N13" i="10"/>
  <c r="O13" i="10" s="1"/>
  <c r="N39" i="10"/>
  <c r="O39" i="10" s="1"/>
  <c r="N40" i="10"/>
  <c r="O40" i="10" s="1"/>
  <c r="N12" i="10"/>
  <c r="O12" i="10" s="1"/>
  <c r="N41" i="10"/>
  <c r="O41" i="10" s="1"/>
  <c r="N13" i="8"/>
  <c r="O13" i="8" s="1"/>
  <c r="N27" i="8"/>
  <c r="O27" i="8" s="1"/>
  <c r="N29" i="8"/>
  <c r="O29" i="8" s="1"/>
  <c r="N14" i="8"/>
  <c r="O14" i="8" s="1"/>
  <c r="N12" i="8"/>
  <c r="O12" i="8" s="1"/>
  <c r="N23" i="8"/>
  <c r="O23" i="8" s="1"/>
  <c r="G136" i="10"/>
  <c r="H136" i="10" s="1"/>
  <c r="I136" i="10" l="1"/>
  <c r="J136" i="10" s="1"/>
  <c r="G106" i="10" l="1"/>
  <c r="H106" i="10" s="1"/>
  <c r="G116" i="10"/>
  <c r="H116" i="10" s="1"/>
  <c r="G115" i="10"/>
  <c r="H115" i="10" s="1"/>
  <c r="G114" i="10"/>
  <c r="H114" i="10" s="1"/>
  <c r="G13" i="12"/>
  <c r="H13" i="12" s="1"/>
  <c r="I13" i="12" s="1"/>
  <c r="J13" i="12" s="1"/>
  <c r="I106" i="10" l="1"/>
  <c r="J106" i="10" s="1"/>
  <c r="I116" i="10"/>
  <c r="J116" i="10" s="1"/>
  <c r="I115" i="10"/>
  <c r="J115" i="10" s="1"/>
  <c r="I114" i="10"/>
  <c r="J114" i="10" s="1"/>
  <c r="G12" i="12"/>
  <c r="H12" i="12" s="1"/>
  <c r="I12" i="12" s="1"/>
  <c r="G105" i="10"/>
  <c r="H105" i="10" s="1"/>
  <c r="G104" i="10"/>
  <c r="H104" i="10" s="1"/>
  <c r="G63" i="10"/>
  <c r="H63" i="10" s="1"/>
  <c r="G62" i="10"/>
  <c r="H62" i="10" s="1"/>
  <c r="J12" i="12" l="1"/>
  <c r="I105" i="10"/>
  <c r="J105" i="10" s="1"/>
  <c r="I104" i="10"/>
  <c r="J104" i="10" s="1"/>
  <c r="I63" i="10"/>
  <c r="J63" i="10" s="1"/>
  <c r="I62" i="10"/>
  <c r="J62" i="10" s="1"/>
  <c r="G41" i="10"/>
  <c r="H41" i="10" s="1"/>
  <c r="G40" i="10"/>
  <c r="H40" i="10" s="1"/>
  <c r="I41" i="10" l="1"/>
  <c r="J41" i="10" s="1"/>
  <c r="I40" i="10"/>
  <c r="J40" i="10" s="1"/>
  <c r="G14" i="8" l="1"/>
  <c r="H14" i="8" s="1"/>
  <c r="G29" i="8"/>
  <c r="H29" i="8" s="1"/>
  <c r="G27" i="8"/>
  <c r="H27" i="8" s="1"/>
  <c r="G23" i="8"/>
  <c r="H23" i="8" s="1"/>
  <c r="G13" i="10"/>
  <c r="H13" i="10" s="1"/>
  <c r="I14" i="8" l="1"/>
  <c r="J14" i="8" s="1"/>
  <c r="I27" i="8"/>
  <c r="J27" i="8" s="1"/>
  <c r="I29" i="8"/>
  <c r="J29" i="8" s="1"/>
  <c r="I23" i="8"/>
  <c r="J23" i="8" s="1"/>
  <c r="I13" i="10"/>
  <c r="J13" i="10" s="1"/>
  <c r="G12" i="10" l="1"/>
  <c r="H12" i="10" s="1"/>
  <c r="I12" i="10" l="1"/>
  <c r="J12" i="10" s="1"/>
  <c r="G61" i="10" l="1"/>
  <c r="H61" i="10" s="1"/>
  <c r="I61" i="10" l="1"/>
  <c r="J61" i="10" s="1"/>
  <c r="G60" i="10" l="1"/>
  <c r="H60" i="10" s="1"/>
  <c r="I60" i="10" l="1"/>
  <c r="J60" i="10" s="1"/>
  <c r="G59" i="10" l="1"/>
  <c r="H59" i="10" s="1"/>
  <c r="I59" i="10" l="1"/>
  <c r="J59" i="10" s="1"/>
  <c r="G73" i="11" l="1"/>
  <c r="H73" i="11" s="1"/>
  <c r="G55" i="11"/>
  <c r="H55" i="11" s="1"/>
  <c r="G54" i="11"/>
  <c r="H54" i="11" s="1"/>
  <c r="G103" i="10"/>
  <c r="H103" i="10" s="1"/>
  <c r="G39" i="10"/>
  <c r="H39" i="10" s="1"/>
  <c r="G102" i="10"/>
  <c r="H102" i="10" s="1"/>
  <c r="I73" i="11" l="1"/>
  <c r="J73" i="11" s="1"/>
  <c r="I55" i="11"/>
  <c r="J55" i="11" s="1"/>
  <c r="I54" i="11"/>
  <c r="J54" i="11" s="1"/>
  <c r="I103" i="10"/>
  <c r="J103" i="10" s="1"/>
  <c r="I39" i="10"/>
  <c r="J39" i="10" s="1"/>
  <c r="I102" i="10"/>
  <c r="J102" i="10" s="1"/>
  <c r="G90" i="10" l="1"/>
  <c r="H90" i="10" s="1"/>
  <c r="G13" i="8"/>
  <c r="H13" i="8" s="1"/>
  <c r="I90" i="10" l="1"/>
  <c r="J90" i="10" s="1"/>
  <c r="I13" i="8"/>
  <c r="J13" i="8" s="1"/>
  <c r="G58" i="10" l="1"/>
  <c r="H58" i="10" s="1"/>
  <c r="I58" i="10" l="1"/>
  <c r="J58" i="10" s="1"/>
  <c r="G12" i="8" l="1"/>
  <c r="H12" i="8" s="1"/>
  <c r="I12" i="8" l="1"/>
  <c r="J12" i="8" s="1"/>
</calcChain>
</file>

<file path=xl/sharedStrings.xml><?xml version="1.0" encoding="utf-8"?>
<sst xmlns="http://schemas.openxmlformats.org/spreadsheetml/2006/main" count="3490" uniqueCount="2232">
  <si>
    <t>Kodas</t>
  </si>
  <si>
    <t>Tiekėjas</t>
  </si>
  <si>
    <t>Apmokestinama %</t>
  </si>
  <si>
    <t>Pelnas Eur.</t>
  </si>
  <si>
    <t>PVM</t>
  </si>
  <si>
    <t>Pavadinimas</t>
  </si>
  <si>
    <t>01001</t>
  </si>
  <si>
    <t>Galutinė kaina</t>
  </si>
  <si>
    <t>W0002</t>
  </si>
  <si>
    <t>W0001</t>
  </si>
  <si>
    <t>01002</t>
  </si>
  <si>
    <t>Mano kaina Be PVM</t>
  </si>
  <si>
    <t>01100</t>
  </si>
  <si>
    <t>00600</t>
  </si>
  <si>
    <t>00601</t>
  </si>
  <si>
    <t>V0001</t>
  </si>
  <si>
    <t>00501</t>
  </si>
  <si>
    <t>W0100</t>
  </si>
  <si>
    <t>V0002</t>
  </si>
  <si>
    <t>01101</t>
  </si>
  <si>
    <t>02000</t>
  </si>
  <si>
    <t xml:space="preserve">Termostatinė galva RAS-CK M30x1,5 jungt. </t>
  </si>
  <si>
    <t>00502</t>
  </si>
  <si>
    <t xml:space="preserve">Manometras MDR 63mm 6bar </t>
  </si>
  <si>
    <t>02100</t>
  </si>
  <si>
    <t>01200</t>
  </si>
  <si>
    <t>01201</t>
  </si>
  <si>
    <t>01202</t>
  </si>
  <si>
    <t>01203</t>
  </si>
  <si>
    <t>01050</t>
  </si>
  <si>
    <t>01300</t>
  </si>
  <si>
    <t>VT0001</t>
  </si>
  <si>
    <t>02150</t>
  </si>
  <si>
    <t>Lino pakulos (50 g.)</t>
  </si>
  <si>
    <t>R0100</t>
  </si>
  <si>
    <t>Aklė radiatoriui 706 1/2</t>
  </si>
  <si>
    <t>02151</t>
  </si>
  <si>
    <t>Gebatout 2 80 gr.</t>
  </si>
  <si>
    <t>03000</t>
  </si>
  <si>
    <t>Alkūnė PPR 20x45</t>
  </si>
  <si>
    <t>03050</t>
  </si>
  <si>
    <t>Perėjimas PPR 20x1/2 iš. met.sr.</t>
  </si>
  <si>
    <t>03051</t>
  </si>
  <si>
    <t>Perėjimas PPR 20x1/2 vid.met.sr.</t>
  </si>
  <si>
    <t>03200</t>
  </si>
  <si>
    <t>Vamzdis Glass 20x3,4 PN20</t>
  </si>
  <si>
    <t>02001</t>
  </si>
  <si>
    <t>Automatinis nuorintojas Flexvent H 1/2 k</t>
  </si>
  <si>
    <t>02002</t>
  </si>
  <si>
    <t xml:space="preserve">Termostatinis ventilis 1/2 tiesus PF </t>
  </si>
  <si>
    <t>02003</t>
  </si>
  <si>
    <t xml:space="preserve">Nuorintojas 701CR 1/2 (balt. rank.) </t>
  </si>
  <si>
    <t>R0002</t>
  </si>
  <si>
    <t>Radiatorius PURMO CV 22 500-900</t>
  </si>
  <si>
    <t>R0003</t>
  </si>
  <si>
    <t xml:space="preserve">Radiatorius V&amp;N 22x550x720 š.pr. </t>
  </si>
  <si>
    <t>00550</t>
  </si>
  <si>
    <t>00551</t>
  </si>
  <si>
    <t>00552</t>
  </si>
  <si>
    <t>00504</t>
  </si>
  <si>
    <t>01003</t>
  </si>
  <si>
    <t>R0101</t>
  </si>
  <si>
    <t>R0102</t>
  </si>
  <si>
    <t>Kamštis radiatoriaus kietinis 1 1/4 x 1/2 dešn.</t>
  </si>
  <si>
    <t>Kamštis radiatoriaus kietinis 1 1/4 kair. aklin.</t>
  </si>
  <si>
    <t>02004</t>
  </si>
  <si>
    <t>Automatinis nuorintojas Flexvent 1/2</t>
  </si>
  <si>
    <t>02005</t>
  </si>
  <si>
    <t>Perėjimas IK 1/2 vid. sr.</t>
  </si>
  <si>
    <t>V0003</t>
  </si>
  <si>
    <t>P0001</t>
  </si>
  <si>
    <t>D0001</t>
  </si>
  <si>
    <t>W0101</t>
  </si>
  <si>
    <t>W0102</t>
  </si>
  <si>
    <t>W0103</t>
  </si>
  <si>
    <t>W0104</t>
  </si>
  <si>
    <t>W0105</t>
  </si>
  <si>
    <t>01301</t>
  </si>
  <si>
    <t>00602</t>
  </si>
  <si>
    <t>00603</t>
  </si>
  <si>
    <t>P0002</t>
  </si>
  <si>
    <t>01302</t>
  </si>
  <si>
    <t>02152</t>
  </si>
  <si>
    <t>Montažinės putos Penosil easy gun 750ml</t>
  </si>
  <si>
    <t>02153</t>
  </si>
  <si>
    <t>Mont. Putos Penosil FireRatedGunFoam</t>
  </si>
  <si>
    <t>04000</t>
  </si>
  <si>
    <t>Nipelis 280 BR 1/2</t>
  </si>
  <si>
    <t>W0107</t>
  </si>
  <si>
    <t>04001</t>
  </si>
  <si>
    <t>Prailginimas 502BR 1/2 15mm</t>
  </si>
  <si>
    <t>02200</t>
  </si>
  <si>
    <t>Kevalas 35/30 (14,4/345,6)</t>
  </si>
  <si>
    <t>02201</t>
  </si>
  <si>
    <t>Kevalas 76/30 (6,0/144,0)</t>
  </si>
  <si>
    <t>02202</t>
  </si>
  <si>
    <t>Kevalas 89/30 (6,0/144,0)</t>
  </si>
  <si>
    <t>02154</t>
  </si>
  <si>
    <t>Juosta aliuminė 50mm/50m armuota</t>
  </si>
  <si>
    <t>01204</t>
  </si>
  <si>
    <t>01205</t>
  </si>
  <si>
    <t>Mano</t>
  </si>
  <si>
    <t>L0001</t>
  </si>
  <si>
    <t>Sieninė konsolė U 30x30 250mm, HDG</t>
  </si>
  <si>
    <t>VT0002</t>
  </si>
  <si>
    <t>02203</t>
  </si>
  <si>
    <t>Išsiplėtimo indas 25l šildymui</t>
  </si>
  <si>
    <t>IND001</t>
  </si>
  <si>
    <t>IND002</t>
  </si>
  <si>
    <t>Laikiklis išsipl. indui srieginis 3/4"</t>
  </si>
  <si>
    <t>01303</t>
  </si>
  <si>
    <t>03001</t>
  </si>
  <si>
    <t>Alkūnė PPR 25 (20203) (50)</t>
  </si>
  <si>
    <t>03002</t>
  </si>
  <si>
    <t>Mova PPR 25 (40103) (50)</t>
  </si>
  <si>
    <t>03100</t>
  </si>
  <si>
    <t>Išardomas sujungimas PPR 25</t>
  </si>
  <si>
    <t>03201</t>
  </si>
  <si>
    <t>Vamzdis Glass 25x4,2 PN20 (80)</t>
  </si>
  <si>
    <t>Kevalas 48/30 (8,4/235,2)</t>
  </si>
  <si>
    <t>00750</t>
  </si>
  <si>
    <t>04002</t>
  </si>
  <si>
    <t>Aklė 300BR 1/2 vid. sr.</t>
  </si>
  <si>
    <t>04003</t>
  </si>
  <si>
    <t>Aklė 300BR 3/4 vid. sr.</t>
  </si>
  <si>
    <t>T0001</t>
  </si>
  <si>
    <t>04004</t>
  </si>
  <si>
    <t>Prailginimas 505BR 3/4 20mm</t>
  </si>
  <si>
    <t>T0002</t>
  </si>
  <si>
    <t>02204</t>
  </si>
  <si>
    <t>Kevalas 42/30 (10,8/259,2)</t>
  </si>
  <si>
    <t>02205</t>
  </si>
  <si>
    <t>Kevalas 54/30 (8,4/235,2)</t>
  </si>
  <si>
    <t>T0003</t>
  </si>
  <si>
    <t>04005</t>
  </si>
  <si>
    <t>Antgalis vandens skaitikliui 1/2</t>
  </si>
  <si>
    <t>Ilgasriegis cinkuotas 3/4"c</t>
  </si>
  <si>
    <t>01400</t>
  </si>
  <si>
    <t>T0004</t>
  </si>
  <si>
    <t>04006</t>
  </si>
  <si>
    <t xml:space="preserve">Perėjimas 246BR 1/2x3/8 v-i </t>
  </si>
  <si>
    <t>V0004</t>
  </si>
  <si>
    <t>00604</t>
  </si>
  <si>
    <t>00605</t>
  </si>
  <si>
    <t>R0001</t>
  </si>
  <si>
    <t>PROFIL-KOMPAKT 22 500/800 KERMI</t>
  </si>
  <si>
    <t>V0005</t>
  </si>
  <si>
    <t>Trumpasriegis cinkuotas 1"1/4c</t>
  </si>
  <si>
    <t>04007</t>
  </si>
  <si>
    <t>Jungtis išardoma 710BR 1"1/4 tiesi</t>
  </si>
  <si>
    <t>VT0003</t>
  </si>
  <si>
    <t>04008</t>
  </si>
  <si>
    <t>Mova 270BR 1/2</t>
  </si>
  <si>
    <t>VT0004</t>
  </si>
  <si>
    <t>01450</t>
  </si>
  <si>
    <t>01451</t>
  </si>
  <si>
    <t>01452</t>
  </si>
  <si>
    <t>04700</t>
  </si>
  <si>
    <t>01304</t>
  </si>
  <si>
    <t>V0006</t>
  </si>
  <si>
    <t>01102</t>
  </si>
  <si>
    <t>00505</t>
  </si>
  <si>
    <t>VT0005</t>
  </si>
  <si>
    <t>00506</t>
  </si>
  <si>
    <t>00507</t>
  </si>
  <si>
    <t>01004</t>
  </si>
  <si>
    <t>01005</t>
  </si>
  <si>
    <t>00607</t>
  </si>
  <si>
    <t>04009</t>
  </si>
  <si>
    <t>Redukcija 241BR 1/2x3/8 i-v</t>
  </si>
  <si>
    <t>01051</t>
  </si>
  <si>
    <t>01305</t>
  </si>
  <si>
    <t>04010</t>
  </si>
  <si>
    <t>Purvo gaudytuvas 170 1</t>
  </si>
  <si>
    <t>VT0006</t>
  </si>
  <si>
    <t>04011</t>
  </si>
  <si>
    <t>Nipelis 280BR 1</t>
  </si>
  <si>
    <t>R0200</t>
  </si>
  <si>
    <t>Siurblys Yonos PICO2 25/1-4 180mm</t>
  </si>
  <si>
    <t>02006</t>
  </si>
  <si>
    <t>Jungtis cirkuli. siurbliui 1" (kompl)</t>
  </si>
  <si>
    <t>02101</t>
  </si>
  <si>
    <t>Manometras MDR 100mm 10bar</t>
  </si>
  <si>
    <t>VT0007</t>
  </si>
  <si>
    <t>04012</t>
  </si>
  <si>
    <t xml:space="preserve">Purvo gaudytuvas 170 1"1/4 (6) </t>
  </si>
  <si>
    <t>W0108</t>
  </si>
  <si>
    <t>00508</t>
  </si>
  <si>
    <t>IND003</t>
  </si>
  <si>
    <t xml:space="preserve">Išsiplėtimo indas 18l šildymui </t>
  </si>
  <si>
    <t>W0109</t>
  </si>
  <si>
    <t>04013</t>
  </si>
  <si>
    <t>Jungtis išardoma 710BR 1" tiesi</t>
  </si>
  <si>
    <t>04014</t>
  </si>
  <si>
    <t>01206</t>
  </si>
  <si>
    <t>VT0008</t>
  </si>
  <si>
    <t>T0005</t>
  </si>
  <si>
    <t>VT0009</t>
  </si>
  <si>
    <t>Alkūnė cinkuota A1C 1"c v-v</t>
  </si>
  <si>
    <t>Trišakis cinkuotas B1C 1"c v-v-v</t>
  </si>
  <si>
    <t>Ilgasriegis cinkuotas 1"c</t>
  </si>
  <si>
    <t>R0004</t>
  </si>
  <si>
    <t>PROFIL-KOMPAKT 22 500/700 KERMI</t>
  </si>
  <si>
    <t>R0005</t>
  </si>
  <si>
    <t>PROFIL-KOMPAKT 22 500/900 KERMI</t>
  </si>
  <si>
    <t>VT0010</t>
  </si>
  <si>
    <t>04015</t>
  </si>
  <si>
    <t>04016</t>
  </si>
  <si>
    <t>Trišakis 130BR 1"</t>
  </si>
  <si>
    <t>03003</t>
  </si>
  <si>
    <t>03004</t>
  </si>
  <si>
    <t>Alkūnė PPR 32 (20204) (50)</t>
  </si>
  <si>
    <t>Trišakis PPR 32x3/4 vid. sr.</t>
  </si>
  <si>
    <t>03005</t>
  </si>
  <si>
    <t xml:space="preserve">Trišakis PPR 32 (30444) (25) </t>
  </si>
  <si>
    <t>03006</t>
  </si>
  <si>
    <t>Mova PPR 32 (40104) (50)</t>
  </si>
  <si>
    <t>03052</t>
  </si>
  <si>
    <t>Perėjimas PPR 32x1 iš. met. sr.</t>
  </si>
  <si>
    <t>03053</t>
  </si>
  <si>
    <t>Perėjimas PPR 32x3/4 vid.met.sr</t>
  </si>
  <si>
    <t>03054</t>
  </si>
  <si>
    <t>Perėjimas PPR 32x1 vid. met.sr.</t>
  </si>
  <si>
    <t>03202</t>
  </si>
  <si>
    <t>Vamzdis PPR 32 PN20</t>
  </si>
  <si>
    <t>VT0011</t>
  </si>
  <si>
    <t>01401</t>
  </si>
  <si>
    <t>01402</t>
  </si>
  <si>
    <t>VT0012</t>
  </si>
  <si>
    <t>01500</t>
  </si>
  <si>
    <t>03055</t>
  </si>
  <si>
    <t>Perėjimas PPR 32x3/4 iš. met.sr.</t>
  </si>
  <si>
    <t>04017</t>
  </si>
  <si>
    <t>Prailginimas 502BR 1/2 10mm</t>
  </si>
  <si>
    <t>00509</t>
  </si>
  <si>
    <t>T0006</t>
  </si>
  <si>
    <t>T0007</t>
  </si>
  <si>
    <t>02155</t>
  </si>
  <si>
    <t>Pasta Unipak 65g</t>
  </si>
  <si>
    <t>02102</t>
  </si>
  <si>
    <t>Manometras MDR 100mm 10bar (03.22.210)</t>
  </si>
  <si>
    <t>04018</t>
  </si>
  <si>
    <t>Perėjimas 245BR 3/4x1/2 i-i</t>
  </si>
  <si>
    <t>01306</t>
  </si>
  <si>
    <t>00609</t>
  </si>
  <si>
    <t>00610</t>
  </si>
  <si>
    <t>00611</t>
  </si>
  <si>
    <t>00612</t>
  </si>
  <si>
    <t>00613</t>
  </si>
  <si>
    <t>00614</t>
  </si>
  <si>
    <t>W0110</t>
  </si>
  <si>
    <t>01006</t>
  </si>
  <si>
    <t>W0111</t>
  </si>
  <si>
    <t>W0112</t>
  </si>
  <si>
    <t>00510</t>
  </si>
  <si>
    <t>00615</t>
  </si>
  <si>
    <t>00616</t>
  </si>
  <si>
    <t>00617</t>
  </si>
  <si>
    <t>00618</t>
  </si>
  <si>
    <t>V0007</t>
  </si>
  <si>
    <t>04019</t>
  </si>
  <si>
    <t>Trišakis 130BR 3/4</t>
  </si>
  <si>
    <t>04020</t>
  </si>
  <si>
    <t>Redukcija 241BR 3/4x1/2 i-v</t>
  </si>
  <si>
    <t>VT0013</t>
  </si>
  <si>
    <t>W0113</t>
  </si>
  <si>
    <t>05000</t>
  </si>
  <si>
    <t>Likutis</t>
  </si>
  <si>
    <t>05001</t>
  </si>
  <si>
    <t>Elallar TL002 maišytuvas</t>
  </si>
  <si>
    <t>05002</t>
  </si>
  <si>
    <t>IRIS 92096.0 maišytuvas</t>
  </si>
  <si>
    <t>V0008</t>
  </si>
  <si>
    <t>01403</t>
  </si>
  <si>
    <t>Nipelis 280BR 1/2</t>
  </si>
  <si>
    <t>PL0001</t>
  </si>
  <si>
    <t>Atlikti darbai</t>
  </si>
  <si>
    <t>-</t>
  </si>
  <si>
    <t>00800</t>
  </si>
  <si>
    <t>00801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</si>
  <si>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</si>
  <si>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</si>
  <si>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</si>
  <si>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</si>
  <si>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</si>
  <si>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</si>
  <si>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</si>
  <si>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</si>
  <si>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</si>
  <si>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</si>
  <si>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03203</t>
  </si>
  <si>
    <t>Vamzdis PPR 25 PN20</t>
  </si>
  <si>
    <t>05100</t>
  </si>
  <si>
    <t>PPR prietaisinė alkūnė 25x1/2*</t>
  </si>
  <si>
    <t>05101</t>
  </si>
  <si>
    <t>05102</t>
  </si>
  <si>
    <t>05103</t>
  </si>
  <si>
    <t xml:space="preserve">Vamzdis PP 50/15 cm </t>
  </si>
  <si>
    <t>05104</t>
  </si>
  <si>
    <t xml:space="preserve">Vamzdis PP 50/25 cm </t>
  </si>
  <si>
    <t>05003</t>
  </si>
  <si>
    <t>BORA Standard 351810 Maišytuvas</t>
  </si>
  <si>
    <t>P0003</t>
  </si>
  <si>
    <t>01307</t>
  </si>
  <si>
    <t>01308</t>
  </si>
  <si>
    <t>05004</t>
  </si>
  <si>
    <t>Juosta plien. 25x4.0mm</t>
  </si>
  <si>
    <t>05005</t>
  </si>
  <si>
    <t>laikiklis plautuvei D6050A</t>
  </si>
  <si>
    <t>04021</t>
  </si>
  <si>
    <t>Jungtis išardoma 710BR 1/2 tiesi</t>
  </si>
  <si>
    <t>02156</t>
  </si>
  <si>
    <t>Mont. Putos Penosil GoldGun65+ 850</t>
  </si>
  <si>
    <t>02206</t>
  </si>
  <si>
    <t>Izoliacinė juosta aliuminė armuota 50x45</t>
  </si>
  <si>
    <t>02207</t>
  </si>
  <si>
    <t>Kevalas 28/30 (14,4/345,6 )</t>
  </si>
  <si>
    <t>01007</t>
  </si>
  <si>
    <t>00632</t>
  </si>
  <si>
    <t>00633</t>
  </si>
  <si>
    <t>02007</t>
  </si>
  <si>
    <t>Termostatinė galva 6402-00.500 kapil.20-50</t>
  </si>
  <si>
    <t>02008</t>
  </si>
  <si>
    <t>Termostatinis ventilis 3/4 tiesus PF</t>
  </si>
  <si>
    <t>02400</t>
  </si>
  <si>
    <t>Vamzdis PERT-AL-PERT d20x2,0</t>
  </si>
  <si>
    <t>Aklė T9 1/2" iš. sr.</t>
  </si>
  <si>
    <t>Aklė T9 3/4" iš. sr.</t>
  </si>
  <si>
    <t>Aklė T9 1" iš. sr.</t>
  </si>
  <si>
    <t>W0114</t>
  </si>
  <si>
    <t>05200</t>
  </si>
  <si>
    <t>Karšto vandens ženklinimas</t>
  </si>
  <si>
    <t>05201</t>
  </si>
  <si>
    <t>Šalto vandens ženklinimas</t>
  </si>
  <si>
    <t>03300</t>
  </si>
  <si>
    <t xml:space="preserve">Perėjimas 1602 16x1/2 vid. sr. </t>
  </si>
  <si>
    <t>03350</t>
  </si>
  <si>
    <t>Vamzdis PERT-AL-PERT d16x2,0</t>
  </si>
  <si>
    <t>R0006</t>
  </si>
  <si>
    <t xml:space="preserve">Radiatorius PURMO C 11 550-1200 </t>
  </si>
  <si>
    <t>VT0014</t>
  </si>
  <si>
    <t>01309</t>
  </si>
  <si>
    <t>01310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</si>
  <si>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</si>
  <si>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</si>
  <si>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</si>
  <si>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</si>
  <si>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</si>
  <si>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</si>
  <si>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</si>
  <si>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</si>
  <si>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</si>
  <si>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</si>
  <si>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</si>
  <si>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01052</t>
  </si>
  <si>
    <t>01311</t>
  </si>
  <si>
    <t>00802</t>
  </si>
  <si>
    <t>Varžtas M8x150 laikikliui</t>
  </si>
  <si>
    <t>00803</t>
  </si>
  <si>
    <t>01008</t>
  </si>
  <si>
    <t>01009</t>
  </si>
  <si>
    <t>00804</t>
  </si>
  <si>
    <t>VT0015</t>
  </si>
  <si>
    <t>04022</t>
  </si>
  <si>
    <t>Alkūnė 92BR 1/2 v-i</t>
  </si>
  <si>
    <t>01501</t>
  </si>
  <si>
    <t>03007</t>
  </si>
  <si>
    <t xml:space="preserve">Alkūnė su tvirtinimu PPR 20x1/2 (88513) </t>
  </si>
  <si>
    <t>03008</t>
  </si>
  <si>
    <t>Alkūnė PPR 20 (20202) (100)</t>
  </si>
  <si>
    <t>03009</t>
  </si>
  <si>
    <t>Alkūnė PPR 20x45 (20102) (100)</t>
  </si>
  <si>
    <t>03010</t>
  </si>
  <si>
    <t>Trišakis PPR 20 (30222) (100)</t>
  </si>
  <si>
    <t>03011</t>
  </si>
  <si>
    <t>Mova PPR 20 (40102) (100)</t>
  </si>
  <si>
    <t>03204</t>
  </si>
  <si>
    <t xml:space="preserve">Vamzdis PPR 20 PN20 </t>
  </si>
  <si>
    <t>Vandens šildytuvas Gorenje TGR80 el.</t>
  </si>
  <si>
    <t>Gorenje TGR50 vandens šildytuvas</t>
  </si>
  <si>
    <t>01404</t>
  </si>
  <si>
    <t>04701</t>
  </si>
  <si>
    <t>Ilgasriegis cinkuotas 1/2"c</t>
  </si>
  <si>
    <t>W0115</t>
  </si>
  <si>
    <t>04023</t>
  </si>
  <si>
    <t>Trišakis 130BR 1/2</t>
  </si>
  <si>
    <t>VT0016</t>
  </si>
  <si>
    <t>04024</t>
  </si>
  <si>
    <t>Perėjimas movinis 240BR 3/4x1/2 v-v</t>
  </si>
  <si>
    <t>04025</t>
  </si>
  <si>
    <t>Jungtis BR su veržle ir tarpine 1/2x1/2</t>
  </si>
  <si>
    <t>03400</t>
  </si>
  <si>
    <t>Izoliacija vamzdžiui PRO 35/9 (168m)</t>
  </si>
  <si>
    <t>01502</t>
  </si>
  <si>
    <t>02157</t>
  </si>
  <si>
    <t>Mont. Putos Penosil FireRatedGunFoam 750</t>
  </si>
  <si>
    <t>03012</t>
  </si>
  <si>
    <t xml:space="preserve">Alkūnė PPR 32x45 (20104) (50) </t>
  </si>
  <si>
    <t>03013</t>
  </si>
  <si>
    <t>Alkūnė PPR 40 (20205) (25)</t>
  </si>
  <si>
    <t>03014</t>
  </si>
  <si>
    <t>Alkūnė PPR 40x45 (20105) (25)</t>
  </si>
  <si>
    <t>03015</t>
  </si>
  <si>
    <t>Trišakis PPR 40 (30555) (25)</t>
  </si>
  <si>
    <t>03016</t>
  </si>
  <si>
    <t>Trišakis PPR 40x32x40 (35545) (25)</t>
  </si>
  <si>
    <t>03017</t>
  </si>
  <si>
    <t xml:space="preserve">Mova PPR 40 (40105) (25) </t>
  </si>
  <si>
    <t>03056</t>
  </si>
  <si>
    <t>Perėjimas PPR 40x1"1/4 iš.met.sr.</t>
  </si>
  <si>
    <t>03057</t>
  </si>
  <si>
    <t>Perėjimas PPR 40x1"1/4 vid.met.sr.</t>
  </si>
  <si>
    <t>03018</t>
  </si>
  <si>
    <t>Aklė PPR 32 (60204) (25)</t>
  </si>
  <si>
    <t>03019</t>
  </si>
  <si>
    <t>Aklė PPR 40 (60205) (25)</t>
  </si>
  <si>
    <t xml:space="preserve">Kabės izoliacijai (100) </t>
  </si>
  <si>
    <t>03058</t>
  </si>
  <si>
    <t xml:space="preserve">Perėjimas movinis PPR 40x32 </t>
  </si>
  <si>
    <t>03205</t>
  </si>
  <si>
    <t>Vamzdis PPR 32 PN20 (14204)</t>
  </si>
  <si>
    <t>03206</t>
  </si>
  <si>
    <t>Vamzdis PPR 40 PN20 (14205)</t>
  </si>
  <si>
    <t>Izoliacija vamzdžiui PRO 40/9</t>
  </si>
  <si>
    <t>03020</t>
  </si>
  <si>
    <t>Trišakis PPR 40x3/4 vid. sr.</t>
  </si>
  <si>
    <t>04026</t>
  </si>
  <si>
    <t>Mova 270BR 1"1/2</t>
  </si>
  <si>
    <t>03450</t>
  </si>
  <si>
    <t>Apkaba priešgaisrinė DN55</t>
  </si>
  <si>
    <t>04027</t>
  </si>
  <si>
    <t>Redukcija 241BR 1"1/2x1"1/4 i-v</t>
  </si>
  <si>
    <t>VT0017</t>
  </si>
  <si>
    <t>VT0018</t>
  </si>
  <si>
    <t>04028</t>
  </si>
  <si>
    <t>Nipelis 280BR 1"1/4</t>
  </si>
  <si>
    <t>VT0019</t>
  </si>
  <si>
    <t>04702</t>
  </si>
  <si>
    <t>Movinis perėjimas cink. M2C 2"x1"1/4</t>
  </si>
  <si>
    <t>05006</t>
  </si>
  <si>
    <t>Remontinė mova 1/2" (DSK) GEBO</t>
  </si>
  <si>
    <t>05007</t>
  </si>
  <si>
    <t>05008</t>
  </si>
  <si>
    <t>Ventilis rutulinis 606 BUGATTI 1/2 v-i</t>
  </si>
  <si>
    <t>Ventilis rutulinis 606 BUGATTI 1" v-i</t>
  </si>
  <si>
    <t>05105</t>
  </si>
  <si>
    <t>PPR ardoma jungtis 32x1"</t>
  </si>
  <si>
    <t>05009</t>
  </si>
  <si>
    <t>Sandariklis LOCTITE 55</t>
  </si>
  <si>
    <t>04029</t>
  </si>
  <si>
    <t>Aklė 290BR 3/4 iš.sr. su tarpine</t>
  </si>
  <si>
    <t>Perėjimas 1600 20x1/2 iš. sr. (10)</t>
  </si>
  <si>
    <t>Vamzdis PEX-AL-PEX d20x2,0</t>
  </si>
  <si>
    <t>VT0020</t>
  </si>
  <si>
    <t>Alkūnė A1 1/2" v-v</t>
  </si>
  <si>
    <t>Alkūnė A4 1/2" v-i</t>
  </si>
  <si>
    <t>Trišakis B1 1/2" v-v-v</t>
  </si>
  <si>
    <t>Mova M2 1/2" v-v</t>
  </si>
  <si>
    <t>00805</t>
  </si>
  <si>
    <t>01312</t>
  </si>
  <si>
    <t>04800</t>
  </si>
  <si>
    <t>Vamzdis plieninis 32 (2m)</t>
  </si>
  <si>
    <t>02009</t>
  </si>
  <si>
    <t>Spiritinis termometras T150</t>
  </si>
  <si>
    <t>W0003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</si>
  <si>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</si>
  <si>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</si>
  <si>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</si>
  <si>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</si>
  <si>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</si>
  <si>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</si>
  <si>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</si>
  <si>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</si>
  <si>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</si>
  <si>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</si>
  <si>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</si>
  <si>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</si>
  <si>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</si>
  <si>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</si>
  <si>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Mova redukuota PPR 25x20</t>
  </si>
  <si>
    <t>Keturšakis PPR 25</t>
  </si>
  <si>
    <t xml:space="preserve">Mova ardoma PPR 25 </t>
  </si>
  <si>
    <t>Jungtis  ardoma PPR 25 x 1" vid. Sr.</t>
  </si>
  <si>
    <t>05500</t>
  </si>
  <si>
    <t>05501</t>
  </si>
  <si>
    <t>05202</t>
  </si>
  <si>
    <t>05203</t>
  </si>
  <si>
    <t>Plokštelė montažine vonios   PPR 25</t>
  </si>
  <si>
    <t>Alkūnė su tvirtinimu PPR 25x1/2" vid.</t>
  </si>
  <si>
    <t>T0008</t>
  </si>
  <si>
    <t>00806</t>
  </si>
  <si>
    <t>02208</t>
  </si>
  <si>
    <t>Lipni juosta su folija 50mmx45</t>
  </si>
  <si>
    <t>Mova ner. pl. remontinė 87-97</t>
  </si>
  <si>
    <t>00751</t>
  </si>
  <si>
    <t>P0004</t>
  </si>
  <si>
    <t>02010</t>
  </si>
  <si>
    <t>Termometras 63mm 120C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</si>
  <si>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</si>
  <si>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</si>
  <si>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</si>
  <si>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</si>
  <si>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</si>
  <si>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</si>
  <si>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</si>
  <si>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</si>
  <si>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</si>
  <si>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</si>
  <si>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04600</t>
  </si>
  <si>
    <t>04801</t>
  </si>
  <si>
    <t>Kontraveržlė žalv. 1'</t>
  </si>
  <si>
    <t>04802</t>
  </si>
  <si>
    <t>Redukcija žalv. 1 1/4'-3/4'</t>
  </si>
  <si>
    <t>VT0021</t>
  </si>
  <si>
    <t>VT0022</t>
  </si>
  <si>
    <t>04510</t>
  </si>
  <si>
    <t>04511</t>
  </si>
  <si>
    <t>04512</t>
  </si>
  <si>
    <t>04513</t>
  </si>
  <si>
    <t>04514</t>
  </si>
  <si>
    <t>04601</t>
  </si>
  <si>
    <t>02011</t>
  </si>
  <si>
    <t>Termometras spiritinis 1/2' alium. Korpuse</t>
  </si>
  <si>
    <t>04602</t>
  </si>
  <si>
    <t>T0009</t>
  </si>
  <si>
    <t>Flanšas plien. 3' (88.9mm)</t>
  </si>
  <si>
    <t>T0010</t>
  </si>
  <si>
    <t>04515</t>
  </si>
  <si>
    <t>04516</t>
  </si>
  <si>
    <t>04803</t>
  </si>
  <si>
    <t>Nipelis žalv. 3/4'</t>
  </si>
  <si>
    <t>04804</t>
  </si>
  <si>
    <t>Redukcija žalv. 1'-3/4'</t>
  </si>
  <si>
    <t>02209</t>
  </si>
  <si>
    <t>Kevalas ISOVER DN 114/50mm (4')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</si>
  <si>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</si>
  <si>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</si>
  <si>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</si>
  <si>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</si>
  <si>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</si>
  <si>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</si>
  <si>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</si>
  <si>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</si>
  <si>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Vienasriegis plien. juod. 1 1/2</t>
  </si>
  <si>
    <t>04603</t>
  </si>
  <si>
    <t>Perėjimas plieninis D 88,9x48,3</t>
  </si>
  <si>
    <t>04604</t>
  </si>
  <si>
    <t>Perėjimas plieninis D 88.9x60.3</t>
  </si>
  <si>
    <t>04605</t>
  </si>
  <si>
    <t>04606</t>
  </si>
  <si>
    <t>Antgalis žalv. 50x2' išor.sr</t>
  </si>
  <si>
    <t>T0011</t>
  </si>
  <si>
    <t>04525</t>
  </si>
  <si>
    <t>Perėjimas AK 1/2 iš. sr.</t>
  </si>
  <si>
    <t>00807</t>
  </si>
  <si>
    <t>01600</t>
  </si>
  <si>
    <t>Mova 701 20 pres.</t>
  </si>
  <si>
    <t>01601</t>
  </si>
  <si>
    <t>Trišakis 707 20 pres.</t>
  </si>
  <si>
    <t>01602</t>
  </si>
  <si>
    <t>Trišakis redukuotas 707 26x20x26 pres.</t>
  </si>
  <si>
    <t>01603</t>
  </si>
  <si>
    <t xml:space="preserve">Trišakis redukuotas 707 32x20x32 pres. </t>
  </si>
  <si>
    <t>01800</t>
  </si>
  <si>
    <t>01604</t>
  </si>
  <si>
    <t>01801</t>
  </si>
  <si>
    <t>Vamzdis PEX-AL-PEX d26x3,0</t>
  </si>
  <si>
    <t>03021</t>
  </si>
  <si>
    <t>Aklė PPR ilga su sriegiu 1/2 (ne HPT)</t>
  </si>
  <si>
    <t>01605</t>
  </si>
  <si>
    <t>Perėjimas 700 32x1" iš.sr. pres.</t>
  </si>
  <si>
    <t>01606</t>
  </si>
  <si>
    <t>Mova redukuota 701 26x20 pres.</t>
  </si>
  <si>
    <t>01607</t>
  </si>
  <si>
    <t>Mova redukuota 701 32x26 pres.</t>
  </si>
  <si>
    <t>01608</t>
  </si>
  <si>
    <t xml:space="preserve">Alkūnė 703 20 pres. </t>
  </si>
  <si>
    <t>01609</t>
  </si>
  <si>
    <t>Alkūnė 704 20x1/2 iš.sr. pres.</t>
  </si>
  <si>
    <t>01610</t>
  </si>
  <si>
    <t>Alkūnė tvirtinama 706 20x1/2 vid.sr. pr</t>
  </si>
  <si>
    <t>01802</t>
  </si>
  <si>
    <t>Vamzdis PEX-AL-PEX d32x3,0</t>
  </si>
  <si>
    <t>03207</t>
  </si>
  <si>
    <t>Vamzdis Glass 32x5,4 PN20</t>
  </si>
  <si>
    <t>01611</t>
  </si>
  <si>
    <t>Trišakis 707 32 pres.</t>
  </si>
  <si>
    <t>04030</t>
  </si>
  <si>
    <t>Aklė 290BR 1/2 iš. sr.</t>
  </si>
  <si>
    <t>01612</t>
  </si>
  <si>
    <t>Mova 701 26 pres.</t>
  </si>
  <si>
    <t>01613</t>
  </si>
  <si>
    <t xml:space="preserve">Perėjimas 700 20x1/2 iš.sr. pres. </t>
  </si>
  <si>
    <t>Perėjimas PPR 32x1 1/4 iš. sr.</t>
  </si>
  <si>
    <t>Trišakis PPR 32</t>
  </si>
  <si>
    <t>05010</t>
  </si>
  <si>
    <t>Lininės pakulos 100g</t>
  </si>
  <si>
    <t>PL0002</t>
  </si>
  <si>
    <t>Transporto išlaidos</t>
  </si>
  <si>
    <t>02210</t>
  </si>
  <si>
    <t>kevalas isover kk-al 48x30 (ilgis 1,2 m)</t>
  </si>
  <si>
    <t>02211</t>
  </si>
  <si>
    <t>kevalas isover kk-al 28x30 (ilgis 1,2 m)</t>
  </si>
  <si>
    <t>02212</t>
  </si>
  <si>
    <t>kevalas isover kk-al 42x30 (ilgis 1,2 m)</t>
  </si>
  <si>
    <t>02213</t>
  </si>
  <si>
    <t>Juosta alium armuota lipni 50mm/40m</t>
  </si>
  <si>
    <t>Apsaugos grupė horizontali VAC02 1" 3bar</t>
  </si>
  <si>
    <t>02103</t>
  </si>
  <si>
    <t>01614</t>
  </si>
  <si>
    <t>Mova 701 16 pres.</t>
  </si>
  <si>
    <t>01615</t>
  </si>
  <si>
    <t>Vamzdis PEX-AL-PEX d16x2,0</t>
  </si>
  <si>
    <t>01803</t>
  </si>
  <si>
    <t>01616</t>
  </si>
  <si>
    <t>Alkūnė 1604 16x1/2 iš. sr. (10)</t>
  </si>
  <si>
    <t>Vamzdis PPR H 20</t>
  </si>
  <si>
    <t>Vandens nerud. žarnele 50-100cm</t>
  </si>
  <si>
    <t>WC įbėgimo mechanizmas 3/8 šon. pj.</t>
  </si>
  <si>
    <t>R0007</t>
  </si>
  <si>
    <t>Pl. radiantorius Vaillant 22K-5-0900  š.pj.</t>
  </si>
  <si>
    <t>R0008</t>
  </si>
  <si>
    <t>Pl. radiantorius Vaillant 22K-5-1000  š.pj.</t>
  </si>
  <si>
    <t>R0009</t>
  </si>
  <si>
    <t>Pl. radiantorius Vaillant 22K-5-1400  š.pj.</t>
  </si>
  <si>
    <t>R0010</t>
  </si>
  <si>
    <t>Pl. radiantorius Vaillant 22K-5-1600  š.pj.</t>
  </si>
  <si>
    <t>02012</t>
  </si>
  <si>
    <t>Tiesus Ventilis RLV-S 15 be drenažo</t>
  </si>
  <si>
    <t>02013</t>
  </si>
  <si>
    <t>Termostatinė galva RAS-C "klick"</t>
  </si>
  <si>
    <t>02014</t>
  </si>
  <si>
    <t>Termostatinis ventilis RA-N 15 UK</t>
  </si>
  <si>
    <t>01617</t>
  </si>
  <si>
    <t>Plien. Pres. Alkunė KAN-therm d.22x90'</t>
  </si>
  <si>
    <t>01618</t>
  </si>
  <si>
    <t>Plien. Pres. Alkunė KAN-therm d.35x90'</t>
  </si>
  <si>
    <t>01619</t>
  </si>
  <si>
    <t>01620</t>
  </si>
  <si>
    <t>Plien. Pres. Reduk. Trišakis. KAN-therm 35x28x35</t>
  </si>
  <si>
    <t>01621</t>
  </si>
  <si>
    <t>Plien. Pres. Antgalis KAN-therm 22x1/2"i</t>
  </si>
  <si>
    <t>01503</t>
  </si>
  <si>
    <t>W0004</t>
  </si>
  <si>
    <t>01504</t>
  </si>
  <si>
    <t>01505</t>
  </si>
  <si>
    <t>01804</t>
  </si>
  <si>
    <t>Cinkuotas presuojamas vamzdis KAN-therm 28x1,5</t>
  </si>
  <si>
    <t>Cinkuotas presuojamas vamzdis KAN-therm 22x1,5</t>
  </si>
  <si>
    <t>01805</t>
  </si>
  <si>
    <t>01806</t>
  </si>
  <si>
    <t>Cinkuotas presuojamas vamzdis KAN-therm 35x1,5</t>
  </si>
  <si>
    <t>01807</t>
  </si>
  <si>
    <t>Cinkuotas presuojamas vamzdis KAN-therm 42x1,5</t>
  </si>
  <si>
    <t>Cinkuotas presuojamas vamzdis KAN-therm 18x1,5</t>
  </si>
  <si>
    <t>01808</t>
  </si>
  <si>
    <t>01622</t>
  </si>
  <si>
    <t>Plien. pres. mova KAN-therm d.28</t>
  </si>
  <si>
    <t>01623</t>
  </si>
  <si>
    <t>01624</t>
  </si>
  <si>
    <t xml:space="preserve">Plien. pres. reduk. trišakis KAN-therm 35x22x35 </t>
  </si>
  <si>
    <t>01625</t>
  </si>
  <si>
    <t>Plien. pres. antgalis KAN-therm 35x1"</t>
  </si>
  <si>
    <t>02015</t>
  </si>
  <si>
    <t xml:space="preserve">Kampinis ventilis RLV-S 15 be drenažo </t>
  </si>
  <si>
    <t>01626</t>
  </si>
  <si>
    <t>Plien. pres. alkūnė KAN-therm d.35x45', v/i</t>
  </si>
  <si>
    <t>01627</t>
  </si>
  <si>
    <t>Plien. pres. alkūnė KAN-therm d.35x45', v/v</t>
  </si>
  <si>
    <t>01628</t>
  </si>
  <si>
    <t>Plien. pres. alkūnė KAN-therm d.22x45', v/i</t>
  </si>
  <si>
    <t>01629</t>
  </si>
  <si>
    <t>01630</t>
  </si>
  <si>
    <t>01631</t>
  </si>
  <si>
    <t>02016</t>
  </si>
  <si>
    <t>01632</t>
  </si>
  <si>
    <t>01633</t>
  </si>
  <si>
    <t>Antgalis srieginis vidus 18x1/2"</t>
  </si>
  <si>
    <t>04805</t>
  </si>
  <si>
    <t>Nipelis 280 iš sr 1/2" žalv</t>
  </si>
  <si>
    <t>04806</t>
  </si>
  <si>
    <t>Redukcija 241 iš/vid 3/4"x1/2" žalv</t>
  </si>
  <si>
    <t>01634</t>
  </si>
  <si>
    <t>01635</t>
  </si>
  <si>
    <t>Plien. pres. alkūnė KAN-therm d.42x90', v/v</t>
  </si>
  <si>
    <t>01636</t>
  </si>
  <si>
    <t xml:space="preserve">Plien. pres. reduk. perėjimas KAN-therm 42x28 </t>
  </si>
  <si>
    <t>01637</t>
  </si>
  <si>
    <t>Plien. pres. reduk. trišakis KAN-therm 42x35x42</t>
  </si>
  <si>
    <t>01638</t>
  </si>
  <si>
    <t>Plien. pres. alkūnė KAN-therm d.42x45', v/v</t>
  </si>
  <si>
    <t>01639</t>
  </si>
  <si>
    <t>Plien. pres. jungtis vid. sr. KAN-therm 28x3/4" v</t>
  </si>
  <si>
    <t>01640</t>
  </si>
  <si>
    <t xml:space="preserve">Plien. pres. mova KAN-therm d.35 </t>
  </si>
  <si>
    <t>04031</t>
  </si>
  <si>
    <t>Išardomas sujungimas br. 1" t. su plokščia tarpine</t>
  </si>
  <si>
    <t>01641</t>
  </si>
  <si>
    <t xml:space="preserve">Plien. pres. alkūnė KAN-therm d.28x45', v/i </t>
  </si>
  <si>
    <t>04032</t>
  </si>
  <si>
    <t xml:space="preserve">Išardomas sujungimas br 3/4" t. su plokščia tarpine </t>
  </si>
  <si>
    <t>01642</t>
  </si>
  <si>
    <t xml:space="preserve">Plien. pres. antgalis KAN-therm 28x3/4" i </t>
  </si>
  <si>
    <t>01643</t>
  </si>
  <si>
    <t>Plien. pres. alkūnė KAN-therm d.28x90'</t>
  </si>
  <si>
    <t>01644</t>
  </si>
  <si>
    <t>Plien. pres. alkūnė KAN-therm d.28x90', v/i</t>
  </si>
  <si>
    <t>05600</t>
  </si>
  <si>
    <t>05601</t>
  </si>
  <si>
    <t>PENOSIL Low Monomer Gunfoam 122, 700 ml</t>
  </si>
  <si>
    <t>PENOSIL GoldGun Low Expansion  750 ml</t>
  </si>
  <si>
    <t>05602</t>
  </si>
  <si>
    <t xml:space="preserve">Termostatinis ventilis RA-N 15 UK </t>
  </si>
  <si>
    <t>Pjovimo diskas DAA Metalui 125 Cortex</t>
  </si>
  <si>
    <t>05603</t>
  </si>
  <si>
    <t>Gebatout2 500 ml. sandarinimo pasta</t>
  </si>
  <si>
    <t>05604</t>
  </si>
  <si>
    <t>Lino pakulos Unipak 200 g</t>
  </si>
  <si>
    <t>05605</t>
  </si>
  <si>
    <t>Spezial 600 ml. REMS sriegimo aerozolis</t>
  </si>
  <si>
    <t>05606</t>
  </si>
  <si>
    <t>PENOSIL FOAM CLEANER 949, 500 ml</t>
  </si>
  <si>
    <t>05607</t>
  </si>
  <si>
    <t>Medžio plaušo paklotas MPP KONSTRUKTOR FF</t>
  </si>
  <si>
    <t>05608</t>
  </si>
  <si>
    <t>Kaiščiai Fischer, 50 mmx6 mm, 100 vnt.</t>
  </si>
  <si>
    <t>05609</t>
  </si>
  <si>
    <t>Medvaržčiai 4,2x65 Juodi, 100 vnt</t>
  </si>
  <si>
    <t>01645</t>
  </si>
  <si>
    <t xml:space="preserve">Plien. pres. reduk. perėjimas KAN-therm 42x35 </t>
  </si>
  <si>
    <t>01646</t>
  </si>
  <si>
    <t>Plien. pres. reduk. trišakis KAN-therm 35x28x35</t>
  </si>
  <si>
    <t>01647</t>
  </si>
  <si>
    <t>Plien. pres. reduk. trišakis KAN-therm 42x22x42</t>
  </si>
  <si>
    <t>01648</t>
  </si>
  <si>
    <t xml:space="preserve">Plien. pres. reduk. trišakis KAN-therm 42x28x42 </t>
  </si>
  <si>
    <t>01649</t>
  </si>
  <si>
    <t>01650</t>
  </si>
  <si>
    <t>Plien. pres. antgalis KAN-therm 35x1"i</t>
  </si>
  <si>
    <t>Pl. radiantorius Vaillant 22K-5-1200  š.pj.</t>
  </si>
  <si>
    <t>R0011</t>
  </si>
  <si>
    <t>01651</t>
  </si>
  <si>
    <t xml:space="preserve">Plien. pres. alkūnė KAN-therm d.42x90', v/i </t>
  </si>
  <si>
    <t>01652</t>
  </si>
  <si>
    <t>Plien. pres. jungtis vid. sr. KAN-therm 28x1/2" v</t>
  </si>
  <si>
    <t>04033</t>
  </si>
  <si>
    <t>Bronzinė aklė iš 3/4"</t>
  </si>
  <si>
    <t>01506</t>
  </si>
  <si>
    <t>04034</t>
  </si>
  <si>
    <t>Perėjimas 245BR 1"1/4x1" i-i</t>
  </si>
  <si>
    <t>05610</t>
  </si>
  <si>
    <t>Kaiščiai Fischer, 60 mmx12 mm, 25vnt.</t>
  </si>
  <si>
    <t>05611</t>
  </si>
  <si>
    <t>Loctite 603 loctite 50 ml</t>
  </si>
  <si>
    <t>05612</t>
  </si>
  <si>
    <t>Įvarai Elematic, 100mm x 8mm, 50 vnt</t>
  </si>
  <si>
    <t>Perėjimas PPR 32x25</t>
  </si>
  <si>
    <t>Trišakis PPR 32x20x32</t>
  </si>
  <si>
    <t>Mova PPR 32x1" vid. sr.</t>
  </si>
  <si>
    <t>Mova PPR 32x1" išor. sr.</t>
  </si>
  <si>
    <t>05204</t>
  </si>
  <si>
    <t>Jungtis ardoma PPR 32x1" vid. sr.</t>
  </si>
  <si>
    <t>05205</t>
  </si>
  <si>
    <t>Jungtis ardoma PPR 32x3/4" vid. sr.</t>
  </si>
  <si>
    <t>05206</t>
  </si>
  <si>
    <t>Jungtis ardoma PPR 32x1/2" vid. sr.</t>
  </si>
  <si>
    <t>00808</t>
  </si>
  <si>
    <t>01405</t>
  </si>
  <si>
    <t>01653</t>
  </si>
  <si>
    <t>Perėjimas 1600 26x3/4 iš.sr.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</si>
  <si>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</si>
  <si>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</si>
  <si>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</si>
  <si>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</si>
  <si>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</si>
  <si>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</si>
  <si>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</si>
  <si>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</si>
  <si>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</si>
  <si>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</si>
  <si>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</si>
  <si>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</si>
  <si>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</si>
  <si>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</si>
  <si>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</si>
  <si>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</si>
  <si>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05300</t>
  </si>
  <si>
    <t>05301</t>
  </si>
  <si>
    <t>Alkūnė PPR 25/90* v-i</t>
  </si>
  <si>
    <t>05136</t>
  </si>
  <si>
    <t>05137</t>
  </si>
  <si>
    <t>05138</t>
  </si>
  <si>
    <t>05207</t>
  </si>
  <si>
    <t>Jungtis ardoma PPR 20x1/2" vid. sr.</t>
  </si>
  <si>
    <t>05208</t>
  </si>
  <si>
    <t>PPR Jungtis d20-1/2 vid. sr.</t>
  </si>
  <si>
    <t>05139</t>
  </si>
  <si>
    <t>Montažinė PPR dežutė d20-1/2 vid. sr.</t>
  </si>
  <si>
    <t>05140</t>
  </si>
  <si>
    <t>Plastikinė aklė 1/2</t>
  </si>
  <si>
    <t>05141</t>
  </si>
  <si>
    <t>PPR apėjimas d20</t>
  </si>
  <si>
    <t>05142</t>
  </si>
  <si>
    <t>05143</t>
  </si>
  <si>
    <t>PPR mova d20</t>
  </si>
  <si>
    <t>05011</t>
  </si>
  <si>
    <t>Ventilis BUGATTI 332, v-v, su nuorintoju 1/2</t>
  </si>
  <si>
    <t>05012</t>
  </si>
  <si>
    <t>apsauginis vožtuvas AFRISO 1/2</t>
  </si>
  <si>
    <t>Aklė PPR 20</t>
  </si>
  <si>
    <t>02450</t>
  </si>
  <si>
    <t>Antaglis movinis Euro-konus 20x3/4</t>
  </si>
  <si>
    <t>02500</t>
  </si>
  <si>
    <t>Kolektorius NP reg. 4 ž. Su debitomačiais</t>
  </si>
  <si>
    <t>PPR alkūnė d25/90*</t>
  </si>
  <si>
    <t xml:space="preserve">PPR alkūnė d25/45* </t>
  </si>
  <si>
    <t>PPR mova d25</t>
  </si>
  <si>
    <t>Trišakis PPR d25</t>
  </si>
  <si>
    <t>Trišakis PPR d25x20x25</t>
  </si>
  <si>
    <t>Trišakis PPR d25x20x20</t>
  </si>
  <si>
    <t>05302</t>
  </si>
  <si>
    <t>Laikiklis PPR d20 viengubas</t>
  </si>
  <si>
    <t>Laikiklis PPR d20 dvigubas</t>
  </si>
  <si>
    <t>Laikiklis PPR d25 viengubas</t>
  </si>
  <si>
    <t>PPR alkūnė d32/90*</t>
  </si>
  <si>
    <t>PPR alkūnė d32/45*</t>
  </si>
  <si>
    <t>PPR mova d32</t>
  </si>
  <si>
    <t>Jungtis ardoma PPR 32x3/4" iš. sr.</t>
  </si>
  <si>
    <t>Vamzdis PPR H d25</t>
  </si>
  <si>
    <t>01654</t>
  </si>
  <si>
    <t>Alkūnė pres.(cink)d22 v-i 90*</t>
  </si>
  <si>
    <t>Rinkos</t>
  </si>
  <si>
    <t>01655</t>
  </si>
  <si>
    <t>Perėjimas pres.(cink) d22x1/2 iš. Sr</t>
  </si>
  <si>
    <t>00809</t>
  </si>
  <si>
    <t>01656</t>
  </si>
  <si>
    <t>Alkūnė pres.(cink)d28 v-i 45*</t>
  </si>
  <si>
    <t>01657</t>
  </si>
  <si>
    <t xml:space="preserve">Mova pres.(cink) d28 </t>
  </si>
  <si>
    <t>01658</t>
  </si>
  <si>
    <t>Mova pres.(cink) d35</t>
  </si>
  <si>
    <t>Kaištis 10x60 universalus NYLON</t>
  </si>
  <si>
    <t>01850</t>
  </si>
  <si>
    <t>01851</t>
  </si>
  <si>
    <t>01659</t>
  </si>
  <si>
    <t>Trišakis pres.(cink)d42x22x42</t>
  </si>
  <si>
    <t>01660</t>
  </si>
  <si>
    <t xml:space="preserve">Trišakis pres.(cink)d42x28x42 </t>
  </si>
  <si>
    <t>01661</t>
  </si>
  <si>
    <t xml:space="preserve">Mova pres.(cink) d42 </t>
  </si>
  <si>
    <t>01662</t>
  </si>
  <si>
    <t xml:space="preserve">Movinis perėjimas pres.(cink) d42x35 </t>
  </si>
  <si>
    <t>04035</t>
  </si>
  <si>
    <t xml:space="preserve">Bronzinis sujungimas 1" </t>
  </si>
  <si>
    <t>01809</t>
  </si>
  <si>
    <t>01810</t>
  </si>
  <si>
    <t>02104</t>
  </si>
  <si>
    <t>Manometras 4b 63/4 1.4" RAD</t>
  </si>
  <si>
    <t>02105</t>
  </si>
  <si>
    <t>Manometras 6b 63/4 1.4" RAD</t>
  </si>
  <si>
    <t>03023</t>
  </si>
  <si>
    <t>Lituojamas trišakis su vid. Sr. 40-1F-40</t>
  </si>
  <si>
    <t>01663</t>
  </si>
  <si>
    <t>01664</t>
  </si>
  <si>
    <t>01665</t>
  </si>
  <si>
    <t>Nerūd. Pl. pres. mova KAN-therm Inox d.35</t>
  </si>
  <si>
    <t>Nerūd. Pl. pres. mova KAN-therm Inox d.22</t>
  </si>
  <si>
    <t>01666</t>
  </si>
  <si>
    <t>Nerūd. Pl. KAN-therm Inox pres. alkūnė 35x90' v/v</t>
  </si>
  <si>
    <t>Nerūd. Pl. KAN-therm Inox pres. alkūnė 22x90' v/v</t>
  </si>
  <si>
    <t>01667</t>
  </si>
  <si>
    <t>Nerūd. Pl. KAN-therm Inox pres. trišakis vid. sr. 22x1/2Vx22</t>
  </si>
  <si>
    <t>Nerūd. Pl. KAN-therm Inox pres. vamzdis 35x1,3</t>
  </si>
  <si>
    <t>Nerūd. Pl. KAN-therm Inox pres. vamzdis 22x1,2</t>
  </si>
  <si>
    <t>01668</t>
  </si>
  <si>
    <t>Nerūd. Pl. KAN-therm Inox pres. trišakis vid. sr. 35x1/2Vx35</t>
  </si>
  <si>
    <t>01669</t>
  </si>
  <si>
    <t>Nerūd. Pl. KAN-therm Inox pres. jungtis 22x1/2", iš. Sr.</t>
  </si>
  <si>
    <t>01670</t>
  </si>
  <si>
    <t>Nerūd. Pl. KAN-therm Inox pres. jungtis 22x1/2", vid. Sr.</t>
  </si>
  <si>
    <t>01507</t>
  </si>
  <si>
    <t>01508</t>
  </si>
  <si>
    <t>01671</t>
  </si>
  <si>
    <t>Nerūd. Pl. KAN-therm Inox pres. alkūnė 35x45', v/i</t>
  </si>
  <si>
    <t>01672</t>
  </si>
  <si>
    <t>Nerūd. Pl. KAN-therm Inox pres. alkūnė 22x90", v/i</t>
  </si>
  <si>
    <t>01673</t>
  </si>
  <si>
    <t>Nerūd. Pl. KAN-therm Inox pres. reduk. nipelis 35x22</t>
  </si>
  <si>
    <t>Lininės pakulos FILASSE 100g</t>
  </si>
  <si>
    <t>05303</t>
  </si>
  <si>
    <t>Laikiklis PPR d25 dvigubas</t>
  </si>
  <si>
    <t>PPR jungtis d20x1/2" iš. Sr.</t>
  </si>
  <si>
    <t>01674</t>
  </si>
  <si>
    <t>03059</t>
  </si>
  <si>
    <t>Perėj. PPR išardoma jungtis 20x1/2 v-i</t>
  </si>
  <si>
    <t>PPR jungtis d20x3/4" iš. Sr.</t>
  </si>
  <si>
    <t>PPR jungtis d20x3/4" vid. Sr.</t>
  </si>
  <si>
    <t>PPR Trišakis d20</t>
  </si>
  <si>
    <t>PPR keturšakis d20</t>
  </si>
  <si>
    <t>Prietaisynis komplektas PPR d20x1/2</t>
  </si>
  <si>
    <t>PPR montažinis maišytuvo mazgas d20x1/2</t>
  </si>
  <si>
    <t>Plastikinė aklė 1/2" trumpa</t>
  </si>
  <si>
    <t>PPR apėjimas d20 (ilgas)</t>
  </si>
  <si>
    <t>PPR jungtis su filtru d20</t>
  </si>
  <si>
    <t>PPR perėjimas d20-d25 v-i</t>
  </si>
  <si>
    <t>05209</t>
  </si>
  <si>
    <t>PPR Chrom. potinkinis ventilis Aquapa d20</t>
  </si>
  <si>
    <t>05210</t>
  </si>
  <si>
    <t>Jungtis ardoma PPR 20x1/2" vid. Sr.</t>
  </si>
  <si>
    <t>05211</t>
  </si>
  <si>
    <t>Jungtis ardoma PPR 20x1/2" iš. Sr.</t>
  </si>
  <si>
    <t>05212</t>
  </si>
  <si>
    <t>Jungtis ardoma PPR 20x3/4" vid. Sr.</t>
  </si>
  <si>
    <t>Jungtis ardoma PPR 20x1" vid. Sr.</t>
  </si>
  <si>
    <t>05213</t>
  </si>
  <si>
    <t>05214</t>
  </si>
  <si>
    <t>PPR tiesi jungtis ardoma d20x1/2 vid. Sr</t>
  </si>
  <si>
    <t>05215</t>
  </si>
  <si>
    <t>PPR trišakis d20x3/4 iš. Sr.</t>
  </si>
  <si>
    <t>04036</t>
  </si>
  <si>
    <t>Alkūnė 90BR 3/4 v-v</t>
  </si>
  <si>
    <t>04037</t>
  </si>
  <si>
    <t>Alkūnė 92BR 3/4 v-i</t>
  </si>
  <si>
    <t>03301</t>
  </si>
  <si>
    <t xml:space="preserve">Perėjimas 1600 20x1/2 iš. sr. </t>
  </si>
  <si>
    <t>03302</t>
  </si>
  <si>
    <t>Trišakis 1607 20</t>
  </si>
  <si>
    <t>05304</t>
  </si>
  <si>
    <t>Laikiklis PPR d32 viengubas</t>
  </si>
  <si>
    <t>05305</t>
  </si>
  <si>
    <t>PPR laikiklio korpusas 16-25mm</t>
  </si>
  <si>
    <t>05306</t>
  </si>
  <si>
    <t>PPR aklė d25</t>
  </si>
  <si>
    <t>Mova  PPR d25x3/4" iš .sr.</t>
  </si>
  <si>
    <t>Mova  PPR d25x3/4" vid.sr.</t>
  </si>
  <si>
    <t>Jungtis ardoma PPR d25x3/4" iš. Sr.</t>
  </si>
  <si>
    <t>Jungtis ardoma PPR d25x3/4" vid. Sr.</t>
  </si>
  <si>
    <t>05216</t>
  </si>
  <si>
    <t>PPR jungtis ardoma d25</t>
  </si>
  <si>
    <t>PPR apėjimas d25 (ilgas)</t>
  </si>
  <si>
    <t>Jungtis ardoma PPR d25x1/2" vid. Sr.</t>
  </si>
  <si>
    <t>PPR mova d25/1x2 iš. Sr.</t>
  </si>
  <si>
    <t>05217</t>
  </si>
  <si>
    <t>Ardoma tiesi ppr mova su vid. d25</t>
  </si>
  <si>
    <t>05218</t>
  </si>
  <si>
    <t>05219</t>
  </si>
  <si>
    <t>PPR trišakis d25/20/20</t>
  </si>
  <si>
    <t>05220</t>
  </si>
  <si>
    <t>PPR trišakis d25/20/25</t>
  </si>
  <si>
    <t>05221</t>
  </si>
  <si>
    <t>PPR alkune su veržle 3/4"</t>
  </si>
  <si>
    <t>05222</t>
  </si>
  <si>
    <t>PPR kampinis ventilis rut. Ard. d25x3/4 su is. Sr.</t>
  </si>
  <si>
    <t>PPR apėjimas d25 (trumpas)</t>
  </si>
  <si>
    <t>02017</t>
  </si>
  <si>
    <t>Automatinis nuorintuvas Flexvent 1/2 su vožtuvėliu</t>
  </si>
  <si>
    <t>01675</t>
  </si>
  <si>
    <t>01676</t>
  </si>
  <si>
    <t>Plien. pres. antgalis KAN-therm 28x1"i</t>
  </si>
  <si>
    <t>01677</t>
  </si>
  <si>
    <t>Plien. pres. alkūnė KAN-therm d.35x90</t>
  </si>
  <si>
    <t>01678</t>
  </si>
  <si>
    <t xml:space="preserve">Plien. pres. alkūnė KAN-therm d.35x90', v/i </t>
  </si>
  <si>
    <t>Plien. pres. alkūnė KAN-therm d.28x45', v/v</t>
  </si>
  <si>
    <t xml:space="preserve">Plien.pres. antgalis KAN-therm 28x1/2"i </t>
  </si>
  <si>
    <t xml:space="preserve">Plieninis pres. apėjimas KAN-therm d.28 </t>
  </si>
  <si>
    <t xml:space="preserve">Plien. pres. trišakis KAN-therm 28x28x28 </t>
  </si>
  <si>
    <t>04526</t>
  </si>
  <si>
    <t>Ketinis trišakis pereinamas 1 1/2"-1"-1 1/2"</t>
  </si>
  <si>
    <t>04527</t>
  </si>
  <si>
    <t>Ketinis sujungimas išardomas v/v 1 1/2"</t>
  </si>
  <si>
    <t>04528</t>
  </si>
  <si>
    <t>Ketinis sujungimas išardomas v/i 1 1/2"</t>
  </si>
  <si>
    <t>04529</t>
  </si>
  <si>
    <t>Plieninis trumpasriegis 1", L=60</t>
  </si>
  <si>
    <t>04530</t>
  </si>
  <si>
    <t>Ketinė alkūnė v/i 1/2"</t>
  </si>
  <si>
    <t>T0012</t>
  </si>
  <si>
    <t>04038</t>
  </si>
  <si>
    <t xml:space="preserve">Mechaninis filtras 25 </t>
  </si>
  <si>
    <t>01679</t>
  </si>
  <si>
    <t>Plien. pres. trišakis vid.sr KAN-therm 28x1/2Vx28</t>
  </si>
  <si>
    <t>Plien. pres. reduk. perėjimas KAN-therm 35x28</t>
  </si>
  <si>
    <t>02158</t>
  </si>
  <si>
    <t xml:space="preserve">Sandarinimo pasta GEBATOUT 2 80ml </t>
  </si>
  <si>
    <t>02159</t>
  </si>
  <si>
    <t>00752</t>
  </si>
  <si>
    <t>04039</t>
  </si>
  <si>
    <t>Purvo gaudytuvas 170 1/2</t>
  </si>
  <si>
    <t>04040</t>
  </si>
  <si>
    <t>Prailginimas 502BR 1/2 25mm</t>
  </si>
  <si>
    <t>00810</t>
  </si>
  <si>
    <t>01852</t>
  </si>
  <si>
    <t>Srieginė smeigė + medsraigtis M8x100-Zn</t>
  </si>
  <si>
    <t>03024</t>
  </si>
  <si>
    <t>Alkūnė PPR 20x1/2 vid. met. sr.</t>
  </si>
  <si>
    <t>01853</t>
  </si>
  <si>
    <t>Varžtas DIN571</t>
  </si>
  <si>
    <t>03025</t>
  </si>
  <si>
    <t>Alkūnė PPR 20x1/2 iš. met. sr.</t>
  </si>
  <si>
    <t>PPR alkūnė d20/45*</t>
  </si>
  <si>
    <t>PPR alkūnė d20-1/2 vid sr.</t>
  </si>
  <si>
    <t>PPR alkūnė d20/90*</t>
  </si>
  <si>
    <t xml:space="preserve">PPR maišytuvo tvirtinimo plokštelė </t>
  </si>
  <si>
    <t>04041</t>
  </si>
  <si>
    <t>Prailginimas 502BR 1/2 50mm</t>
  </si>
  <si>
    <t>R0012</t>
  </si>
  <si>
    <t>Plieninis radiatorius GALANT UNI 22UNI-5-1200</t>
  </si>
  <si>
    <t>R0103</t>
  </si>
  <si>
    <t>Radiatorių HM laikikliai H500</t>
  </si>
  <si>
    <t>Plien. pres. jungtis vid. sr. KAN-therm 28x1" v</t>
  </si>
  <si>
    <t>01680</t>
  </si>
  <si>
    <t xml:space="preserve">Plien. pres. reduk. perėjimas KAN-therm 28x22 </t>
  </si>
  <si>
    <t>Plien. Pres. Alkūnė KAN-therm d.22x90', v/i</t>
  </si>
  <si>
    <t>01681</t>
  </si>
  <si>
    <t>Plien. pres. alkūnė KAN-therm d.22x45', v/v</t>
  </si>
  <si>
    <t>01682</t>
  </si>
  <si>
    <t>Plien. pres. reduk. trišakis KAN-therm 28x22x28</t>
  </si>
  <si>
    <t>02018</t>
  </si>
  <si>
    <t>Termostatinė galva LIQUID M30 V4 (Komplektas)</t>
  </si>
  <si>
    <t>01683</t>
  </si>
  <si>
    <t xml:space="preserve">Plien. pres. apėjimas KAN-therm d.22 </t>
  </si>
  <si>
    <t>01684</t>
  </si>
  <si>
    <t>Nerūd. Pl. KAN-therm Inox pres. jungtis 35 x 1"</t>
  </si>
  <si>
    <t>01685</t>
  </si>
  <si>
    <t>Nerūd. Pl. KAN-therm Inox pres. trišakis 35x35x35</t>
  </si>
  <si>
    <t>02600</t>
  </si>
  <si>
    <t>Fiksacinis žiedas(768006)</t>
  </si>
  <si>
    <t>04042</t>
  </si>
  <si>
    <t>Nipelis 280BR 3/4</t>
  </si>
  <si>
    <t>02451</t>
  </si>
  <si>
    <t>Uponor kampo fiksatorius plastic 14-18</t>
  </si>
  <si>
    <t>01406</t>
  </si>
  <si>
    <t>01407</t>
  </si>
  <si>
    <t>01408</t>
  </si>
  <si>
    <t>02452</t>
  </si>
  <si>
    <t>Antgalis movinis Euro-konus 18x3/4</t>
  </si>
  <si>
    <t>02501</t>
  </si>
  <si>
    <t>Kolektorius NP reg. 5 ž. su debitomačiai</t>
  </si>
  <si>
    <t>02019</t>
  </si>
  <si>
    <t>4 eigų rotacinis vožtuvas su rank. DN25</t>
  </si>
  <si>
    <t>Trišakis redukuotas 707 26x16x26 pres.</t>
  </si>
  <si>
    <t>Movinis perėjimas M2 1"1/2x1" v-v</t>
  </si>
  <si>
    <t>Jungtis išardoma U2 1" v-i</t>
  </si>
  <si>
    <t>04531</t>
  </si>
  <si>
    <t>R0201</t>
  </si>
  <si>
    <t>Mazgas grind.šild.reg.su siurbliu 25/6</t>
  </si>
  <si>
    <t>01409</t>
  </si>
  <si>
    <t>IND004</t>
  </si>
  <si>
    <t>Išsiplėtimo indas 35l šildymui su kojelė</t>
  </si>
  <si>
    <t>04043</t>
  </si>
  <si>
    <t>Purvo gaudytuvas 170 1"</t>
  </si>
  <si>
    <t>Perėjimas 1600 26x1" iš.sr.</t>
  </si>
  <si>
    <t>03303</t>
  </si>
  <si>
    <t>02020</t>
  </si>
  <si>
    <t>Pavara 3 ir 4 eigų vožtuvams,230V</t>
  </si>
  <si>
    <t>02021</t>
  </si>
  <si>
    <t>Kontaktinis termostatas LUXOR TS3030</t>
  </si>
  <si>
    <t>01686</t>
  </si>
  <si>
    <t>Alkūnė pres.(cink)d35 v-v 90*</t>
  </si>
  <si>
    <t>01687</t>
  </si>
  <si>
    <t>Alkūnė pres.(cink)d35 v-i 90*</t>
  </si>
  <si>
    <t>01688</t>
  </si>
  <si>
    <t>Trišakis pres.(cink)d35</t>
  </si>
  <si>
    <t>01689</t>
  </si>
  <si>
    <t>Movinis perėjimas pres.(cink) d35x28</t>
  </si>
  <si>
    <t>01690</t>
  </si>
  <si>
    <t>Perėjimas pres.(cink) d35x1"iš. sr.</t>
  </si>
  <si>
    <t>01691</t>
  </si>
  <si>
    <t>Perėjimas pres.(cink) d35x1" vid. Sr.</t>
  </si>
  <si>
    <t>01811</t>
  </si>
  <si>
    <t>Vamzdis(cink) 35x1,5</t>
  </si>
  <si>
    <t>04532</t>
  </si>
  <si>
    <t>Jungtis išardoma U1 1" v-v</t>
  </si>
  <si>
    <t>01692</t>
  </si>
  <si>
    <t>Perėjimas pres.(cink) d22x1/2 vid.sr</t>
  </si>
  <si>
    <t>01693</t>
  </si>
  <si>
    <t>Perėjimas pres.(cink) d22x3/4 vid.sr.</t>
  </si>
  <si>
    <t>00811</t>
  </si>
  <si>
    <t xml:space="preserve">Kolektorius su uždarymo vent. 3 žiedų 1 </t>
  </si>
  <si>
    <t>01812</t>
  </si>
  <si>
    <t xml:space="preserve">Vamzdis(cink) 22x1,5 </t>
  </si>
  <si>
    <t>00812</t>
  </si>
  <si>
    <t>Nipelis 280BR 1"</t>
  </si>
  <si>
    <t>04044</t>
  </si>
  <si>
    <t>Alkūnė 92BR 1" v-i</t>
  </si>
  <si>
    <t>04045</t>
  </si>
  <si>
    <t>Uponor Q&amp;E DR met.jungtis 20x1/2 iš</t>
  </si>
  <si>
    <t>03500</t>
  </si>
  <si>
    <t>Uponor Q&amp;E jungčių žiedas 20mm baltas</t>
  </si>
  <si>
    <t>Vamzdis PERT-AL-PERT d26x3,0</t>
  </si>
  <si>
    <t>Pres. Mova v/v 26x26</t>
  </si>
  <si>
    <t>02022</t>
  </si>
  <si>
    <t>apsauginis vožtuvas kieto kuro katilui STS 20</t>
  </si>
  <si>
    <t>PPR alkūnė d32-3/4 vid sr.</t>
  </si>
  <si>
    <t>Mova PPR d32x3/4" iš .sr.</t>
  </si>
  <si>
    <t>Lituojamas ventilis PPR d20x1/2 vid. sr.</t>
  </si>
  <si>
    <t>03600</t>
  </si>
  <si>
    <t>03601</t>
  </si>
  <si>
    <t>GIV d32 PVC alkūnė 90*</t>
  </si>
  <si>
    <t>HIV d32 PVC alkūnė 45*</t>
  </si>
  <si>
    <t>03602</t>
  </si>
  <si>
    <t>TIV d32 PVC trišakis 90*</t>
  </si>
  <si>
    <t>03603</t>
  </si>
  <si>
    <t>03604</t>
  </si>
  <si>
    <t>03605</t>
  </si>
  <si>
    <t>TRIV d32x25x32 PVC reduk. trišakis 90*</t>
  </si>
  <si>
    <t>03606</t>
  </si>
  <si>
    <t>DIMV d25x20x1/2" PVC įvorė su sust.vid.sr</t>
  </si>
  <si>
    <t>DIMV d32x25x1" PVC įvorė su sust.vid.sr</t>
  </si>
  <si>
    <t>DIMV d32x25x3/4" PVC įvorė su sust.vid.sr</t>
  </si>
  <si>
    <t>03607</t>
  </si>
  <si>
    <t>KIFV d32x25x1" PVC mova su išor. Sr.</t>
  </si>
  <si>
    <t>03608</t>
  </si>
  <si>
    <t>BIFV d32x1" PVC išard. Jungtis su vid. Sr. EPDM</t>
  </si>
  <si>
    <t>03609</t>
  </si>
  <si>
    <t>BIV d32 PVC išard. Jungtis su EPDM sand. Žiedu</t>
  </si>
  <si>
    <t>03610</t>
  </si>
  <si>
    <t>MIV d32 PVC mova</t>
  </si>
  <si>
    <t>03611</t>
  </si>
  <si>
    <t>GRIFFON K 500g PVC klijai su teptuku</t>
  </si>
  <si>
    <t>03612</t>
  </si>
  <si>
    <t>GRIFFON V 500g PVC valiklis</t>
  </si>
  <si>
    <t>QRV d90 PVC flanšo adapteris, rantuotas</t>
  </si>
  <si>
    <t xml:space="preserve">BFLFIP d90 DN80 flanšas PN10/16 </t>
  </si>
  <si>
    <t>DIV d90x50 PVC trumpa redukcija</t>
  </si>
  <si>
    <t>DIV d50x32 PVC trumpa redukcija</t>
  </si>
  <si>
    <t>QHV/Y d90 DN80 EPDM flanšo tarpinė</t>
  </si>
  <si>
    <t>04046</t>
  </si>
  <si>
    <t xml:space="preserve">Trišakis 130BR 1"x1/2 v-v </t>
  </si>
  <si>
    <t>04047</t>
  </si>
  <si>
    <t>Redukcija 241BR 1/2x1/4 i-v</t>
  </si>
  <si>
    <t>02106</t>
  </si>
  <si>
    <t>Manometras MDR 63mm 10bar</t>
  </si>
  <si>
    <t>šildytuvas vandens OKC 80</t>
  </si>
  <si>
    <t>01694</t>
  </si>
  <si>
    <t>Perėjimas 700 18x1/2 iš.sr. pres</t>
  </si>
  <si>
    <t>04048</t>
  </si>
  <si>
    <t>Jungtis išardoma 715BR 3/4 kampu</t>
  </si>
  <si>
    <t>01695</t>
  </si>
  <si>
    <t>Perėjimas 1600 18x1/2 iš. sr.</t>
  </si>
  <si>
    <t>01696</t>
  </si>
  <si>
    <t xml:space="preserve">Perėjimas 700 16x1/2 iš.sr. pres. </t>
  </si>
  <si>
    <t>02023</t>
  </si>
  <si>
    <t>Nuorinimo vožtuvas automatinis 1/2" su aps.</t>
  </si>
  <si>
    <t>04049</t>
  </si>
  <si>
    <t>Trišakis 130BR 3/4x1/2 v-v</t>
  </si>
  <si>
    <t>01697</t>
  </si>
  <si>
    <t>Perėjimas 700 18x3/4 iš.sr. pres.</t>
  </si>
  <si>
    <t>01698</t>
  </si>
  <si>
    <t>Alkūnė 703 18 pres.</t>
  </si>
  <si>
    <t>05013</t>
  </si>
  <si>
    <t>Silifosfato kristalų užpildas geriamam vandeniui SR150</t>
  </si>
  <si>
    <t>Ardoma mova PPR d25 tiesi 3/4 su veržle</t>
  </si>
  <si>
    <t>05223</t>
  </si>
  <si>
    <t>Ardoma mova PPR d32 tiesi 3/4 su veržle</t>
  </si>
  <si>
    <t>05224</t>
  </si>
  <si>
    <t>Ardoma mova PPR d32 į PPR</t>
  </si>
  <si>
    <t xml:space="preserve">Alkūnė PE plast. 25x3/4 iš. sr. </t>
  </si>
  <si>
    <t>04050</t>
  </si>
  <si>
    <t>Perėjimas 246BR 3/4x1/2 v-i</t>
  </si>
  <si>
    <t>02024</t>
  </si>
  <si>
    <t>Termostatinė galva Danfoss Redia M30x1,5</t>
  </si>
  <si>
    <t>02025</t>
  </si>
  <si>
    <t>Termostatinė galva Danfoss Redia RA, 16-28 °C</t>
  </si>
  <si>
    <t>01699</t>
  </si>
  <si>
    <t>Perėjimas pres.(cink) d28x"3/4 iš. sr.</t>
  </si>
  <si>
    <t>R0013</t>
  </si>
  <si>
    <t>Aliuminio radiatorius HELYOS EVO 500 RAL 9016</t>
  </si>
  <si>
    <t>00813</t>
  </si>
  <si>
    <t>04051</t>
  </si>
  <si>
    <t>Alkūnė 92BR  1" v-i</t>
  </si>
  <si>
    <t>00753</t>
  </si>
  <si>
    <t>R0104</t>
  </si>
  <si>
    <t>80 mm laikiklis</t>
  </si>
  <si>
    <t>R0105</t>
  </si>
  <si>
    <t>Dešininė redukcija 1" 1/2</t>
  </si>
  <si>
    <t>R0106</t>
  </si>
  <si>
    <t>Kairinė redukcija 1" 1/2</t>
  </si>
  <si>
    <t>R0107</t>
  </si>
  <si>
    <t xml:space="preserve">Kairinė aklė </t>
  </si>
  <si>
    <t>R0108</t>
  </si>
  <si>
    <t xml:space="preserve">Dešininė aklė </t>
  </si>
  <si>
    <t>R0202</t>
  </si>
  <si>
    <t>Nuorintojo raktas SS/RDT metal</t>
  </si>
  <si>
    <t>R0203</t>
  </si>
  <si>
    <t>Mechaninis nuorintojas RDT/K 15-OEM</t>
  </si>
  <si>
    <t>R0204</t>
  </si>
  <si>
    <t>Oro išleidimo vožtuvas radiatoriui 1/2" su PTFE Carlo Poletti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</si>
  <si>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</si>
  <si>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</si>
  <si>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</si>
  <si>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</si>
  <si>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</si>
  <si>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</si>
  <si>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</si>
  <si>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</si>
  <si>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</si>
  <si>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</si>
  <si>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</si>
  <si>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</si>
  <si>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</si>
  <si>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Trišakis PPR 32x25x32</t>
  </si>
  <si>
    <t>05157</t>
  </si>
  <si>
    <t>Lituojamas ventilis PPR d25</t>
  </si>
  <si>
    <t>01813</t>
  </si>
  <si>
    <t>Pl. cink. presuojamas vamzdis KAN-therm 35x1,5</t>
  </si>
  <si>
    <t>04052</t>
  </si>
  <si>
    <t>Bronzinis perėjimas i/v 3/4" x 1"</t>
  </si>
  <si>
    <t>00754</t>
  </si>
  <si>
    <t>02026</t>
  </si>
  <si>
    <t>Termostatas kontaktinis MT 30-90</t>
  </si>
  <si>
    <t>04053</t>
  </si>
  <si>
    <t>Bronzinis trišakis 1"</t>
  </si>
  <si>
    <t>04533</t>
  </si>
  <si>
    <t xml:space="preserve">Ketinė aklė išor. sr. 1/2" </t>
  </si>
  <si>
    <t>04534</t>
  </si>
  <si>
    <t>Ketinė aklė išor. sr. 3/4</t>
  </si>
  <si>
    <t>04535</t>
  </si>
  <si>
    <t xml:space="preserve">Ketinė aklė išor. sr. 1" </t>
  </si>
  <si>
    <t>WH002</t>
  </si>
  <si>
    <t>WH003</t>
  </si>
  <si>
    <t>WH001</t>
  </si>
  <si>
    <t>Tarpinė TGR, GT Gorenje</t>
  </si>
  <si>
    <t>WH100</t>
  </si>
  <si>
    <t>WH101</t>
  </si>
  <si>
    <t>Kaitinimo elementas 2000W, GT</t>
  </si>
  <si>
    <t>02214</t>
  </si>
  <si>
    <t>Juosta al.fol. armuota 50mmx40m</t>
  </si>
  <si>
    <t>01150</t>
  </si>
  <si>
    <t>05158</t>
  </si>
  <si>
    <t>PPR alkūnė d20/90* v-i</t>
  </si>
  <si>
    <t>R0014</t>
  </si>
  <si>
    <t>Plieninis radiatorius Vaillant 11K-6-0700</t>
  </si>
  <si>
    <t>R0015</t>
  </si>
  <si>
    <t>Plieninis radiatorius Vaillant 11K-6-1000</t>
  </si>
  <si>
    <t>R0016</t>
  </si>
  <si>
    <t>Plieninis radiatorius Vaillant 11K-6-1200</t>
  </si>
  <si>
    <t>04054</t>
  </si>
  <si>
    <t>Pereinamas sujungimas br 1/2" x 3/4"</t>
  </si>
  <si>
    <t>04536</t>
  </si>
  <si>
    <t>Ketinis trišakis pereinamas 1" - 3/4" - 1"</t>
  </si>
  <si>
    <t>04537</t>
  </si>
  <si>
    <t xml:space="preserve">Ketinis trišakis 1 1/4" - 3/4" - 1 1/4" </t>
  </si>
  <si>
    <t>04538</t>
  </si>
  <si>
    <t>Ketinis sujungimas išardomas v/i 1"</t>
  </si>
  <si>
    <t>04539</t>
  </si>
  <si>
    <t>Ketinis sujungimas išardomas v/i 1 1/4"</t>
  </si>
  <si>
    <t>03026</t>
  </si>
  <si>
    <t>Lituojama HP Trend alkūnė 90° 20mm</t>
  </si>
  <si>
    <t>R0017</t>
  </si>
  <si>
    <t>Plieninis radiatorius GALANT UNI 22UNI-5-1000</t>
  </si>
  <si>
    <t>02027</t>
  </si>
  <si>
    <t>Termostatinis ventilis OVENTROP 1018080 HM VK</t>
  </si>
  <si>
    <t>02028</t>
  </si>
  <si>
    <t>Radiatorių HM laikikliai H600</t>
  </si>
  <si>
    <t>02029</t>
  </si>
  <si>
    <t>05159</t>
  </si>
  <si>
    <t>Montažinė PPR dežutė d25-1/2 vid. sr.</t>
  </si>
  <si>
    <t>05225</t>
  </si>
  <si>
    <t>Jungtis ardoma PPR d25x1/2" iš. Sr.</t>
  </si>
  <si>
    <t>05160</t>
  </si>
  <si>
    <t>Dvigubas montažinis vonios mazgas d25-1/2 vid. Sr.</t>
  </si>
  <si>
    <t>03208</t>
  </si>
  <si>
    <t>Lituojamas vamzdis su STIK. audiniu 32</t>
  </si>
  <si>
    <t>03209</t>
  </si>
  <si>
    <t>Lituojamas vamzdis su STIK. audiniu 25</t>
  </si>
  <si>
    <t>04055</t>
  </si>
  <si>
    <t xml:space="preserve">Perėjimas 245BR 1"x3/4 i-i </t>
  </si>
  <si>
    <t>Kairinė redukcija 1"1/2</t>
  </si>
  <si>
    <t>R0109</t>
  </si>
  <si>
    <t>R0110</t>
  </si>
  <si>
    <t>Dešininė redukcija 1"1/2</t>
  </si>
  <si>
    <t>05161</t>
  </si>
  <si>
    <t>PPR mova d25/1x2 vid. Sr.</t>
  </si>
  <si>
    <t>05162</t>
  </si>
  <si>
    <t>Mova PPR d32x1/2" iš .sr.</t>
  </si>
  <si>
    <t xml:space="preserve">Vamzdis PPR H d32 </t>
  </si>
  <si>
    <t>Plieninis radiatorius Vaillant 11K-5-1400</t>
  </si>
  <si>
    <t>Plieninis radiatorius Vaillant 11K-5-1100</t>
  </si>
  <si>
    <t>R0018</t>
  </si>
  <si>
    <t>R0019</t>
  </si>
  <si>
    <t>04056</t>
  </si>
  <si>
    <t>Perėjimas 245BR 1/2x3/8 i-i</t>
  </si>
  <si>
    <t>03210</t>
  </si>
  <si>
    <t>03211</t>
  </si>
  <si>
    <t>PPR laikiklio sagė 16-25mm</t>
  </si>
  <si>
    <t>01410</t>
  </si>
  <si>
    <t>04057</t>
  </si>
  <si>
    <t>Bronzinis sujungimas 3/4"</t>
  </si>
  <si>
    <t>04058</t>
  </si>
  <si>
    <t>Bronzinė redukcija 1/2" x 3/4"</t>
  </si>
  <si>
    <t>04059</t>
  </si>
  <si>
    <t>Bronzinis sujungimas 1/2"</t>
  </si>
  <si>
    <t>Tiekėjo kaina Eur.</t>
  </si>
  <si>
    <t>02030</t>
  </si>
  <si>
    <t>Karšto vandens šildytuvas BOLLY 1 XL WB 500 L</t>
  </si>
  <si>
    <t>Plien. pres. antgalis KAN-therm 42xR1"1/2"</t>
  </si>
  <si>
    <t>Plien. pres. antgalis KAN-therm 42xR1"1/2" i</t>
  </si>
  <si>
    <t>05226</t>
  </si>
  <si>
    <t>05227</t>
  </si>
  <si>
    <t>05228</t>
  </si>
  <si>
    <t>05229</t>
  </si>
  <si>
    <t>Alkūnė AL/PP Ø60/100 90*</t>
  </si>
  <si>
    <t xml:space="preserve">Kompl. hor. AL/PP Ø60/100 be alkū </t>
  </si>
  <si>
    <t xml:space="preserve">Katilas pakab. kond. 24/28 MI HX142 </t>
  </si>
  <si>
    <t>03060</t>
  </si>
  <si>
    <t>Perėjimas PPR 25x1/2 iš. met.sr.</t>
  </si>
  <si>
    <t>03027</t>
  </si>
  <si>
    <t>Lituojamas HP Trend trišakis 25 mm</t>
  </si>
  <si>
    <t>03028</t>
  </si>
  <si>
    <t>Lituojama HP Trend mova 25 mm</t>
  </si>
  <si>
    <t>03029</t>
  </si>
  <si>
    <t>Lituojama HP Trend alkūnė 90° 25mm</t>
  </si>
  <si>
    <t>03030</t>
  </si>
  <si>
    <t>Lituojama HP Trend alkūnė 45° 25mm</t>
  </si>
  <si>
    <t>R0020</t>
  </si>
  <si>
    <t>Renovacinis plieninis radiatorius HM 21C-AT-55-1200</t>
  </si>
  <si>
    <t>R0021</t>
  </si>
  <si>
    <t>Renovacinis plieninis radiatorius HM 21C-AT-55-1000</t>
  </si>
  <si>
    <t>Radiatorių HM laikikliai H550</t>
  </si>
  <si>
    <t>R0111</t>
  </si>
  <si>
    <t>Izoliacija vamzdžiui PRO 48/9</t>
  </si>
  <si>
    <t>Izoliacija vamzdžiui PRO 60/9</t>
  </si>
  <si>
    <t>Izoliacija vamzdžiui PRO 76/9</t>
  </si>
  <si>
    <t>02160</t>
  </si>
  <si>
    <t>Juosta izoliacinė pilka 48mm/50m</t>
  </si>
  <si>
    <t>04060</t>
  </si>
  <si>
    <t>Purvo gaudytuvas 3/4" su magnetu</t>
  </si>
  <si>
    <t>D0002</t>
  </si>
  <si>
    <t>Alkūnė PE 32</t>
  </si>
  <si>
    <t>Alkūnė PE 32x1 iš.sr</t>
  </si>
  <si>
    <t>Alkūnė PE 32x1 v.sr.</t>
  </si>
  <si>
    <t>Aklė PE 32</t>
  </si>
  <si>
    <t xml:space="preserve">Jungtis PE 32x3/4'' iš.sr. </t>
  </si>
  <si>
    <t xml:space="preserve">Jungtis PE 32x1 iš.sr. </t>
  </si>
  <si>
    <t>Trišakis PE 32x25x32</t>
  </si>
  <si>
    <t>Mova red.PE 32*20</t>
  </si>
  <si>
    <t xml:space="preserve">Mova red.PE 32*25 </t>
  </si>
  <si>
    <t>Trišakis PE 32</t>
  </si>
  <si>
    <t xml:space="preserve">Trišakis PE 32x20 </t>
  </si>
  <si>
    <t>Trišakis PE 32x1" v.sr.</t>
  </si>
  <si>
    <t>01700</t>
  </si>
  <si>
    <t>Mova 701 18 pres.</t>
  </si>
  <si>
    <t>Vamzdžio fiksavimo kamp. d14-18</t>
  </si>
  <si>
    <t>03031</t>
  </si>
  <si>
    <t>03032</t>
  </si>
  <si>
    <t>03033</t>
  </si>
  <si>
    <t>04061</t>
  </si>
  <si>
    <t>Prailginimas 502BR 1/2 20mm</t>
  </si>
  <si>
    <t>03034</t>
  </si>
  <si>
    <t>Ventilis rutulinis PPR 32</t>
  </si>
  <si>
    <t>Izoliacija vamzdžiui PRO 18/6</t>
  </si>
  <si>
    <t>Izoliacija vamzdžiui PRO 28/6</t>
  </si>
  <si>
    <t>03035</t>
  </si>
  <si>
    <t>Ventilis rutulinis PPR 25</t>
  </si>
  <si>
    <t>DJ001</t>
  </si>
  <si>
    <t>Veržlės vamzdžiui 3/4 dujoms</t>
  </si>
  <si>
    <t>DJ002</t>
  </si>
  <si>
    <t>Vamzdis EUROGAS 3/4 15mm</t>
  </si>
  <si>
    <t>Alkūnė AL/PP Ø60/100 45*</t>
  </si>
  <si>
    <t>Šilumnešis P1000 20L</t>
  </si>
  <si>
    <t>Prailginimas AL/PP Ø60/100 1000mm</t>
  </si>
  <si>
    <t>Vertikalus elektrinis plokščias vandens šildytuvas Atlantic FLAT O'Pro+ 100</t>
  </si>
  <si>
    <t>Vertikalus elektrinis plokščias vandens šildytuvas Atlantic FLAT O'Pro+ 80</t>
  </si>
  <si>
    <t>IND005</t>
  </si>
  <si>
    <t>Išsiplėtimo indas 5l vandentiekiui</t>
  </si>
  <si>
    <t>L0002</t>
  </si>
  <si>
    <t>00814</t>
  </si>
  <si>
    <t>01701</t>
  </si>
  <si>
    <t>Alkūnė pres.(cink)d35 v-v 45*</t>
  </si>
  <si>
    <t>01702</t>
  </si>
  <si>
    <t xml:space="preserve">Alkūnė pres.(cink)d35 v-i 45* </t>
  </si>
  <si>
    <t>01703</t>
  </si>
  <si>
    <t>01704</t>
  </si>
  <si>
    <t>Perėjimas pres.(cink) d35x11/4iš. sr.</t>
  </si>
  <si>
    <t>Trišakis pres. (cink) d35x1/2 vid. sr.</t>
  </si>
  <si>
    <t>05163</t>
  </si>
  <si>
    <t>PE trišakis, DN32 x 3/4", vid. sr.</t>
  </si>
  <si>
    <t>05164</t>
  </si>
  <si>
    <t>05165</t>
  </si>
  <si>
    <t>PPR alkūnė d40/90*</t>
  </si>
  <si>
    <t>PPR jungtis D40x1"1/4" vid.sr.</t>
  </si>
  <si>
    <t>05166</t>
  </si>
  <si>
    <t>PPR jungtis D40x1"1/4" iš.sr.</t>
  </si>
  <si>
    <t>04540</t>
  </si>
  <si>
    <t>05167</t>
  </si>
  <si>
    <t>PPR mova d32 3/4 vid sr.</t>
  </si>
  <si>
    <t>05168</t>
  </si>
  <si>
    <t>PPR mova d32 1" iš sr.</t>
  </si>
  <si>
    <t>04062</t>
  </si>
  <si>
    <t>Trišakis 130BR 1"x3/4 v-v</t>
  </si>
  <si>
    <t>04063</t>
  </si>
  <si>
    <t>Redukcija 241BR 1"x1/2 i-v</t>
  </si>
  <si>
    <t>04064</t>
  </si>
  <si>
    <t>Prailginimas 506BR 1" 50mm</t>
  </si>
  <si>
    <t>02107</t>
  </si>
  <si>
    <t>Termo-manometras TMRA vert. 4bar</t>
  </si>
  <si>
    <t>04541</t>
  </si>
  <si>
    <t>Aklė T9 1"1/4 iš. sr.</t>
  </si>
  <si>
    <t>04542</t>
  </si>
  <si>
    <t>Trumpasriegis 2"</t>
  </si>
  <si>
    <t>04543</t>
  </si>
  <si>
    <t>Jungtis išardoma U1 2" v-v</t>
  </si>
  <si>
    <t>04544</t>
  </si>
  <si>
    <t>Jungtis išardoma U2 2" v-i</t>
  </si>
  <si>
    <t>01053</t>
  </si>
  <si>
    <t>01054</t>
  </si>
  <si>
    <t>04545</t>
  </si>
  <si>
    <t xml:space="preserve">Mova 1601 20 </t>
  </si>
  <si>
    <t>04065</t>
  </si>
  <si>
    <t>Prailginimas 502BR 1/2 30mm</t>
  </si>
  <si>
    <t>Perėjimas pres.(cink) d28x3/4" vid. sr.</t>
  </si>
  <si>
    <t>04066</t>
  </si>
  <si>
    <t>Jungtis išardoma 715BR 1/2 kampu</t>
  </si>
  <si>
    <t>04067</t>
  </si>
  <si>
    <t>Prailginimas 502BR 1/2 40mm</t>
  </si>
  <si>
    <t>01705</t>
  </si>
  <si>
    <t>01706</t>
  </si>
  <si>
    <t>Alkūnė pres.(cink)d28 v-v 90*</t>
  </si>
  <si>
    <t>03036</t>
  </si>
  <si>
    <t>Trišakis PPR 40x25x40</t>
  </si>
  <si>
    <t>03212</t>
  </si>
  <si>
    <t>Vamzdis Glass 40x6,7 PN20</t>
  </si>
  <si>
    <t>04546</t>
  </si>
  <si>
    <t xml:space="preserve">Vienasriegis 3/4" </t>
  </si>
  <si>
    <t>VEIV d 20 DN15 PVC sklendė</t>
  </si>
  <si>
    <t>VEIV d 25 DN20 PVC sklendė</t>
  </si>
  <si>
    <t>VEIV d 50 DN40 PVC sklendė</t>
  </si>
  <si>
    <t>PVC d20 * 1,5 PN16 vamzdis</t>
  </si>
  <si>
    <t>PVC d25 * 1,9 PN16 vamzdis</t>
  </si>
  <si>
    <t>PVC d50 * 3,7 PN16 vamzdis</t>
  </si>
  <si>
    <t>TRIV d50x20x50 PVC redukcinis trišakis 90*</t>
  </si>
  <si>
    <t xml:space="preserve">TRIV d25x20x25 PVC redukcinis trišakis 90* </t>
  </si>
  <si>
    <t>TIV d25 PVC trišakis 90*</t>
  </si>
  <si>
    <t>BIV d50 PVC išardoma jungtis su EPDM sand. Žiedu</t>
  </si>
  <si>
    <t xml:space="preserve">BIV d25 PVC išardoma jungtis su EPDM sand. žiedu </t>
  </si>
  <si>
    <t xml:space="preserve">BIV d20 PVC išardoma jungtis su EPDM sand. žiedu </t>
  </si>
  <si>
    <t>MIV d50 PVC mova</t>
  </si>
  <si>
    <t>MIV d25 PVC mova</t>
  </si>
  <si>
    <t xml:space="preserve">MIV d20 PVC mova </t>
  </si>
  <si>
    <t>GIV d25 PVC alkūnė 90*</t>
  </si>
  <si>
    <t>GIV d20 PVC alkūnė 90*</t>
  </si>
  <si>
    <t>00553</t>
  </si>
  <si>
    <t>00815</t>
  </si>
  <si>
    <t>03061</t>
  </si>
  <si>
    <t>Perėjimas PPR 20x3/4 vid.met.sr</t>
  </si>
  <si>
    <t>03037</t>
  </si>
  <si>
    <t>Aklė PPR 20 (60202)</t>
  </si>
  <si>
    <t>Alkūnė PPR 25x45 (20103)</t>
  </si>
  <si>
    <t>Trišakis PPR 25 (30333)</t>
  </si>
  <si>
    <t>03062</t>
  </si>
  <si>
    <t>Perėjimas PPR 25x3/4 iš. met.sr.</t>
  </si>
  <si>
    <t>03063</t>
  </si>
  <si>
    <t>Perėjimas PPR 25x3/4 vid.met.sr.</t>
  </si>
  <si>
    <t>Ventilis su galva FJVR 1/2 10-50C tiesus</t>
  </si>
  <si>
    <t>01854</t>
  </si>
  <si>
    <t>Aklė PPR 25 (60203)</t>
  </si>
  <si>
    <t>R0022</t>
  </si>
  <si>
    <t>R0023</t>
  </si>
  <si>
    <t>R0024</t>
  </si>
  <si>
    <t>03064</t>
  </si>
  <si>
    <t>Perėjimas PPR 20x3/4 iš. met.sr.</t>
  </si>
  <si>
    <t>04068</t>
  </si>
  <si>
    <t>Antgalis vandens skaitikliui 3/4</t>
  </si>
  <si>
    <t>01855</t>
  </si>
  <si>
    <t>Medsraigčiai 3,5-51</t>
  </si>
  <si>
    <t>01856</t>
  </si>
  <si>
    <t>Nailoninis kaištis M8</t>
  </si>
  <si>
    <t>03038</t>
  </si>
  <si>
    <t>Ventilis rutulinis PPR 20</t>
  </si>
  <si>
    <t>03304</t>
  </si>
  <si>
    <t>Perėjimas 1602 20x1/2 vid. sr.</t>
  </si>
  <si>
    <t>04547</t>
  </si>
  <si>
    <t>Alkūnė A4 1"1/4 v-i</t>
  </si>
  <si>
    <t>04548</t>
  </si>
  <si>
    <t>Trišakis B1 1"1/4x3/4 v-v-v</t>
  </si>
  <si>
    <t>04549</t>
  </si>
  <si>
    <t xml:space="preserve">Trumpasriegis 1"1/4 </t>
  </si>
  <si>
    <t>04550</t>
  </si>
  <si>
    <t xml:space="preserve">Jungtis išardoma U2 1"1/4 v-i </t>
  </si>
  <si>
    <t>01857</t>
  </si>
  <si>
    <t>Nailoninis kaištis M10X50</t>
  </si>
  <si>
    <t>00755</t>
  </si>
  <si>
    <t>Vandens šildytuvo daviklis NTC</t>
  </si>
  <si>
    <t xml:space="preserve">Siurblio valdiklis TMK SP100 </t>
  </si>
  <si>
    <t>TRIV d50x25x50 PVC redukcinis trišakis 90*</t>
  </si>
  <si>
    <t>00900</t>
  </si>
  <si>
    <t>01900</t>
  </si>
  <si>
    <t>PE100 PN10 vamzdis 50*3.0/6m RC dvisluoksnis</t>
  </si>
  <si>
    <t>DIV d50x25 PVC trumpa redukcija VDL</t>
  </si>
  <si>
    <t>KIFV d25x20x3/4" PVC mova/įvorė su išor.sr.</t>
  </si>
  <si>
    <t xml:space="preserve">HIV d25/45* PVC alkūnė </t>
  </si>
  <si>
    <t>04069</t>
  </si>
  <si>
    <t>04070</t>
  </si>
  <si>
    <t xml:space="preserve">Prailginimas 502BR 1/2 25mm </t>
  </si>
  <si>
    <t>01901</t>
  </si>
  <si>
    <t>Vamzdis PE DN50</t>
  </si>
  <si>
    <t>01902</t>
  </si>
  <si>
    <t>Vamzdis PE100 PN10 32x2,4</t>
  </si>
  <si>
    <t>01707</t>
  </si>
  <si>
    <t>01708</t>
  </si>
  <si>
    <t>01709</t>
  </si>
  <si>
    <t>01710</t>
  </si>
  <si>
    <t>01711</t>
  </si>
  <si>
    <t>01814</t>
  </si>
  <si>
    <t>01815</t>
  </si>
  <si>
    <t>03305</t>
  </si>
  <si>
    <t>03306</t>
  </si>
  <si>
    <t>03307</t>
  </si>
  <si>
    <t>03451</t>
  </si>
  <si>
    <t>03452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</si>
  <si>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</si>
  <si>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</si>
  <si>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</si>
  <si>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</si>
  <si>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</si>
  <si>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</si>
  <si>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</si>
  <si>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</si>
  <si>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</si>
  <si>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</si>
  <si>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</si>
  <si>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</si>
  <si>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</si>
  <si>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</si>
  <si>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</si>
  <si>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</si>
  <si>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</si>
  <si>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</si>
  <si>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</si>
  <si>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</si>
  <si>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</si>
  <si>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</si>
  <si>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</si>
  <si>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</si>
  <si>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</si>
  <si>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</si>
  <si>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</si>
  <si>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</si>
  <si>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</si>
  <si>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</si>
  <si>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</si>
  <si>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</si>
  <si>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</si>
  <si>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</si>
  <si>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</si>
  <si>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WH004</t>
  </si>
  <si>
    <t>WH005</t>
  </si>
  <si>
    <t>WH006</t>
  </si>
  <si>
    <t>02108</t>
  </si>
  <si>
    <t>02109</t>
  </si>
  <si>
    <t>02110</t>
  </si>
  <si>
    <t>01712</t>
  </si>
  <si>
    <t>04071</t>
  </si>
  <si>
    <t>04072</t>
  </si>
  <si>
    <t>04073</t>
  </si>
  <si>
    <t>04074</t>
  </si>
  <si>
    <t>04075</t>
  </si>
  <si>
    <t>04076</t>
  </si>
  <si>
    <t>04077</t>
  </si>
  <si>
    <t>04807</t>
  </si>
  <si>
    <t>04808</t>
  </si>
  <si>
    <t>04809</t>
  </si>
  <si>
    <t>04810</t>
  </si>
  <si>
    <t>01816</t>
  </si>
  <si>
    <t>02401</t>
  </si>
  <si>
    <t>02402</t>
  </si>
  <si>
    <t>02403</t>
  </si>
  <si>
    <t>02550</t>
  </si>
  <si>
    <t>02551</t>
  </si>
  <si>
    <t>02552</t>
  </si>
  <si>
    <t>02553</t>
  </si>
  <si>
    <t>Redukcija d. 40x32 cink 1"</t>
  </si>
  <si>
    <t>Perėjimas AK 1 1/4" iš. Sr</t>
  </si>
  <si>
    <t>Išardomas sujung. ketinis 2" v-i</t>
  </si>
  <si>
    <t>Vienasriegis plien. juod. 2"</t>
  </si>
  <si>
    <t>Vienasriegis plien. juod. 1/2"</t>
  </si>
  <si>
    <t>Vienasriegis plien. juod. 2 1/2"</t>
  </si>
  <si>
    <t>Išardomas sujung. ketinis 2 1/2" v-i.</t>
  </si>
  <si>
    <t>Išardomas sujung. cink. 2 1/2" v-i</t>
  </si>
  <si>
    <t>Nipelis ketinis cink. 2 1/2"</t>
  </si>
  <si>
    <t>Išardomas sujung. ketinis 1 1/2" v-i</t>
  </si>
  <si>
    <t>Mova plieninė 1/2"</t>
  </si>
  <si>
    <t>Trišakis plien. 2" (60.3mm)</t>
  </si>
  <si>
    <t>Alkūnė plien. 2" (60.3mm)</t>
  </si>
  <si>
    <t>Flanšas plien. 2 1/2" (76.1mm)</t>
  </si>
  <si>
    <t>Mova AK2"' x2"' IS cink.AGA</t>
  </si>
  <si>
    <t>Perėjimas IK 1 1/4 vid. sr.</t>
  </si>
  <si>
    <t>Išardomas sujung. ketinis 1 1/4" v-i.</t>
  </si>
  <si>
    <t>Vienasriegis plien. juod. 1 1/4"</t>
  </si>
  <si>
    <t>Alkūnė ketinė cink. 3/4" vid./vid.</t>
  </si>
  <si>
    <t>Alkūnė ketinė cink. 3/4" vid./išor.</t>
  </si>
  <si>
    <t>Išardomas sujung. ketinis 1 1/4" v-i</t>
  </si>
  <si>
    <t>Mova 2"-1"1/4" cinkuota</t>
  </si>
  <si>
    <t>Vamzdis vand.-dujų DN15 1/2</t>
  </si>
  <si>
    <t>Alkūnė vv d 50 VS cink 1 1/2"</t>
  </si>
  <si>
    <t>00816</t>
  </si>
  <si>
    <t>WH007</t>
  </si>
  <si>
    <t>Kombinuotas šildytuvas Gorenje 120L kairinis</t>
  </si>
  <si>
    <t>02404</t>
  </si>
  <si>
    <t>Vamzdžio kampo fiksatorius d20-22</t>
  </si>
  <si>
    <t>D0003</t>
  </si>
  <si>
    <t>WH102</t>
  </si>
  <si>
    <t>Tenas MOA 300 W, chromas</t>
  </si>
  <si>
    <t>04078</t>
  </si>
  <si>
    <t>Prailginimas 505BR 3/4 40mm</t>
  </si>
  <si>
    <t>03039</t>
  </si>
  <si>
    <t>Laikiklis vamzdžiui 9826AK 28 viengubas</t>
  </si>
  <si>
    <t>03065</t>
  </si>
  <si>
    <t>Perėjimas PPR 25x1 iš. met.</t>
  </si>
  <si>
    <t>Aklė 300BR 1" vid. sr.</t>
  </si>
  <si>
    <t>WH008</t>
  </si>
  <si>
    <t>Horizontalus kombinuotas vandens šildytuvas Stiebel Eltron PSH 200 WE-H, 200L</t>
  </si>
  <si>
    <t>Radiatorių HM laikikliai H900</t>
  </si>
  <si>
    <t>R0112</t>
  </si>
  <si>
    <t>01713</t>
  </si>
  <si>
    <t>Perėjimas 1600 20x3/4iš. sr. (10)</t>
  </si>
  <si>
    <t>Renovacinis plieninis radiatorius HM 22C-AT-55-0400,</t>
  </si>
  <si>
    <t>Renovacinis plieninis radiatorius HM 22C-AT-55-1200,</t>
  </si>
  <si>
    <t>Plieninis radiatorius GALANT UNI 22UNI-9-0600,</t>
  </si>
  <si>
    <t>Vamzdis HP Trend, 25x4,2 mm</t>
  </si>
  <si>
    <t>Vamzdis HP Trend, 32x5,4 mm</t>
  </si>
  <si>
    <t>01714</t>
  </si>
  <si>
    <t>Mova 1601 26</t>
  </si>
  <si>
    <t>04551</t>
  </si>
  <si>
    <t xml:space="preserve">Perėjimas IK 2 vid. sr. </t>
  </si>
  <si>
    <t>04552</t>
  </si>
  <si>
    <t>Redukcija N4 2"x1" i-v</t>
  </si>
  <si>
    <t>00817</t>
  </si>
  <si>
    <t>00818</t>
  </si>
  <si>
    <t>03040</t>
  </si>
  <si>
    <t>Alkūnė su tvirtinimu PPR 25x1/2</t>
  </si>
  <si>
    <t>Vertikalus elektrinis vandens šildytuvas Atlantic O'Pro+ S 80;</t>
  </si>
  <si>
    <t>01453</t>
  </si>
  <si>
    <t>R0025</t>
  </si>
  <si>
    <t>Radiatorius V&amp;N 11x500x1000</t>
  </si>
  <si>
    <t>R0026</t>
  </si>
  <si>
    <t>Radiatorius V&amp;N 11x500x1000 š.pr.</t>
  </si>
  <si>
    <t>R0027</t>
  </si>
  <si>
    <t>Plieninis radiatorius GALANT UNI 20UNI-6-1200,</t>
  </si>
  <si>
    <t>G0001</t>
  </si>
  <si>
    <t>Gyvatukas ner.pl. 5-ių bangų d32 580x840</t>
  </si>
  <si>
    <t>00554</t>
  </si>
  <si>
    <t>00555</t>
  </si>
  <si>
    <t>00556</t>
  </si>
  <si>
    <t>Nipelis 280CR 1/2</t>
  </si>
  <si>
    <t>01903</t>
  </si>
  <si>
    <t>01454</t>
  </si>
  <si>
    <t>01455</t>
  </si>
  <si>
    <t>PE80 PN10 vamzdis 32*2.4</t>
  </si>
  <si>
    <t>04079</t>
  </si>
  <si>
    <t>Prailginimas 506BR 1" 20mm</t>
  </si>
  <si>
    <t>03041</t>
  </si>
  <si>
    <t>Alkūnė PPR 25x1/2 vid. met. sr.</t>
  </si>
  <si>
    <t>"Company"</t>
  </si>
  <si>
    <t>00503</t>
  </si>
  <si>
    <t>Dataset for testing</t>
  </si>
  <si>
    <t>Redukcija Chrom. 1/2x3/8 i-v</t>
  </si>
  <si>
    <t>Redukcija Chrom. 1/2x1/4 i-v</t>
  </si>
  <si>
    <t xml:space="preserve">Alkūnė Chrom. 1/2 v-i </t>
  </si>
  <si>
    <t>Perėjimas Chrom. 1/2x3/8 v-i</t>
  </si>
  <si>
    <t xml:space="preserve">Pajungimas vamzdeliui 1/2x10 vid. </t>
  </si>
  <si>
    <t>Pajungimas movinis vamzdeliui 10x10</t>
  </si>
  <si>
    <t xml:space="preserve">Alkūnė 90 Chrom. 3/8 -1/2 v-i </t>
  </si>
  <si>
    <t xml:space="preserve">Redukcija 241CR 3/4x1/2 i-v </t>
  </si>
  <si>
    <t>Pajungimas vamzdeliui 1/2x10 vid. sr.</t>
  </si>
  <si>
    <t>Prailginimas 502CR 1/2 10mm</t>
  </si>
  <si>
    <t>Prailginimas 502CR 1/2 15mm</t>
  </si>
  <si>
    <t xml:space="preserve">Prailginimas 502CR 1/2 20mm </t>
  </si>
  <si>
    <t>Prailginimas 502CR 1/2 25mm</t>
  </si>
  <si>
    <t>Prailginimas 502CR 1/2 30mm</t>
  </si>
  <si>
    <t>Prailginimas 502CR 1/2 40mm</t>
  </si>
  <si>
    <t>Prailginimas 502CR 1/2 50mm</t>
  </si>
  <si>
    <t>Perėjimas guminis D100 špiž/PP</t>
  </si>
  <si>
    <t>Vidaus kanalizacijos perėjimas D100</t>
  </si>
  <si>
    <t>Perėjimas guminis D50 špiž/PP</t>
  </si>
  <si>
    <t>Vidaus kanalizacijos perėjimas D50</t>
  </si>
  <si>
    <t>Vamzdis su mova HTEM 110/150 (20/160)</t>
  </si>
  <si>
    <t>Perėjimas HTR 50/40 (20/1200)</t>
  </si>
  <si>
    <t>00606</t>
  </si>
  <si>
    <t>Perėjimas guminis 50x40</t>
  </si>
  <si>
    <t>00608</t>
  </si>
  <si>
    <t>Skalbimo mašinos išleidim.žarna 150 cm.</t>
  </si>
  <si>
    <t>Perėjimas HTR KURZ 110/50 (trumpas)</t>
  </si>
  <si>
    <t>Alkūnė HTB 32/45 (60)</t>
  </si>
  <si>
    <t>Trišakis HTEA 110/110 45 (10/120)</t>
  </si>
  <si>
    <t>Trišakis HTEA 110/110 67 (20/120)</t>
  </si>
  <si>
    <t>Trišakis HTEA 110/110 87 (20/120)</t>
  </si>
  <si>
    <t>Trišakis HTEA 110/50 87</t>
  </si>
  <si>
    <t>Vamzdis KGEM 110x2000x3,2 l.k. (86)</t>
  </si>
  <si>
    <t xml:space="preserve">Perėjimas HTUG 110/110 špiž/PP </t>
  </si>
  <si>
    <t xml:space="preserve">Perėjimas guminis D100 špiž/PP </t>
  </si>
  <si>
    <t xml:space="preserve">Vamzdis su mova HTEM 110/150 </t>
  </si>
  <si>
    <t>Vamzdis su mova HTEM 110/250</t>
  </si>
  <si>
    <t>Vamzdis su mova HTEM 110/1000 (4/60)</t>
  </si>
  <si>
    <t>Vamzdis su mova HTEM 110/1500</t>
  </si>
  <si>
    <t>Vamzdis su mova HTEM 110/2000 (4/60)</t>
  </si>
  <si>
    <t xml:space="preserve">Alkūnė HTB 110/15 </t>
  </si>
  <si>
    <t>Alkūnė HTB 110/30</t>
  </si>
  <si>
    <t>Alkūnė HTB 110/45</t>
  </si>
  <si>
    <t>Alkūnė HTB 110/67</t>
  </si>
  <si>
    <t>Alkūnė HTB 110/87</t>
  </si>
  <si>
    <t>Mova HTU 110 (20/240)</t>
  </si>
  <si>
    <t>00629</t>
  </si>
  <si>
    <t>Kompensacinė mova HTL 110 (20/160)</t>
  </si>
  <si>
    <t>00630</t>
  </si>
  <si>
    <t>Revizija HTRE 110 (20/120)</t>
  </si>
  <si>
    <t>00631</t>
  </si>
  <si>
    <t xml:space="preserve">Perėjimas HTR 110/50 (20/480) </t>
  </si>
  <si>
    <t>Vamzdis su mova HTEM 50/250</t>
  </si>
  <si>
    <t>Alkūnė HTB 40/15</t>
  </si>
  <si>
    <t>Alkūnė HTB 40/30</t>
  </si>
  <si>
    <t>Alkūnė HTB 40/45</t>
  </si>
  <si>
    <t>Alkūnė HTB 40/87</t>
  </si>
  <si>
    <t>Vamzdis su mova HTEM 50/150</t>
  </si>
  <si>
    <t xml:space="preserve">Alkūnė HTB 50/15 </t>
  </si>
  <si>
    <t>Alkūnė HTB 50/30</t>
  </si>
  <si>
    <t>Alkūnė HTB 50/45</t>
  </si>
  <si>
    <t>Alkūnė HTB 50/67</t>
  </si>
  <si>
    <t>Alkūnė HTB 50/87</t>
  </si>
  <si>
    <t>Mova HTU 50 (20/1200)</t>
  </si>
  <si>
    <t>00645</t>
  </si>
  <si>
    <t>Trišakis HTEA 110/50 45</t>
  </si>
  <si>
    <t>00646</t>
  </si>
  <si>
    <t>Mova HTU 110</t>
  </si>
  <si>
    <t>00647</t>
  </si>
  <si>
    <t xml:space="preserve">Revizija HTRE 110 </t>
  </si>
  <si>
    <t>00648</t>
  </si>
  <si>
    <t>Aklė HTM 40</t>
  </si>
  <si>
    <t>00649</t>
  </si>
  <si>
    <t>Vamzdis su mova HTEM 50/1000</t>
  </si>
  <si>
    <t>00650</t>
  </si>
  <si>
    <t>Vamzdis su mova HTEM 50/2000</t>
  </si>
  <si>
    <t>00651</t>
  </si>
  <si>
    <t>Vamzdis su mova HTEM 50/500</t>
  </si>
  <si>
    <t>00652</t>
  </si>
  <si>
    <t>Perėjimas HTR 40/32 (50)</t>
  </si>
  <si>
    <t>00653</t>
  </si>
  <si>
    <t xml:space="preserve">Vamzdis su mova HTEM 32/250 (30) </t>
  </si>
  <si>
    <t>00654</t>
  </si>
  <si>
    <t>Aklė HTM 50</t>
  </si>
  <si>
    <t>00655</t>
  </si>
  <si>
    <t>Vamzdis su mova HTEM 110/1500 (4/60)</t>
  </si>
  <si>
    <t>00656</t>
  </si>
  <si>
    <t>Vamzdis su mova HTEM 110/500</t>
  </si>
  <si>
    <t>00657</t>
  </si>
  <si>
    <t>Kompensacinė mova HTL 50</t>
  </si>
  <si>
    <t>00658</t>
  </si>
  <si>
    <t>Perėjimas HTUG 50/50 špiž/PP</t>
  </si>
  <si>
    <t>00659</t>
  </si>
  <si>
    <t>Alsuoklis DN100 HC-47</t>
  </si>
  <si>
    <t>00660</t>
  </si>
  <si>
    <t>Alkūnė HTB 110/22</t>
  </si>
  <si>
    <t>00661</t>
  </si>
  <si>
    <t>Keturšakis HTDA 110/110 67</t>
  </si>
  <si>
    <t>00662</t>
  </si>
  <si>
    <t>Vamzdis KGEM 110x1000x3,0 l.k.</t>
  </si>
  <si>
    <t>00663</t>
  </si>
  <si>
    <t>Vamzdis KGEM 110x2000x3,2 l.k.</t>
  </si>
  <si>
    <t>00664</t>
  </si>
  <si>
    <t>Aklė HTM 110</t>
  </si>
  <si>
    <t>00665</t>
  </si>
  <si>
    <t>Trišakis HTEA 50/50 45</t>
  </si>
  <si>
    <t>00666</t>
  </si>
  <si>
    <t>Automatinis alsuoklis DN50</t>
  </si>
  <si>
    <t>00667</t>
  </si>
  <si>
    <t>Perėjimas guminis 40x26</t>
  </si>
  <si>
    <t>00668</t>
  </si>
  <si>
    <t>Pajungimas WC 400mm lankstus</t>
  </si>
  <si>
    <t>00669</t>
  </si>
  <si>
    <t>Mova dviguba KG-ERMM 110</t>
  </si>
  <si>
    <t>00670</t>
  </si>
  <si>
    <t>Vamzdis su mova HTEM 40/250</t>
  </si>
  <si>
    <t>00671</t>
  </si>
  <si>
    <t>Keturšakis HTDA 110/110 87</t>
  </si>
  <si>
    <t>00672</t>
  </si>
  <si>
    <t>Trišakis HTEA 50/50 87</t>
  </si>
  <si>
    <t>00673</t>
  </si>
  <si>
    <t>Perėjimas HTR 50/40 trumpas</t>
  </si>
  <si>
    <t>00674</t>
  </si>
  <si>
    <t>Vamzdis su mova HTEM 40/1000</t>
  </si>
  <si>
    <t>00675</t>
  </si>
  <si>
    <t>Vamzdis su mova HTEM 40/500</t>
  </si>
  <si>
    <t>00676</t>
  </si>
  <si>
    <t>Alkūnė KGB 110/30</t>
  </si>
  <si>
    <t>00677</t>
  </si>
  <si>
    <t>Alkūnė KGB 110/45</t>
  </si>
  <si>
    <t>00678</t>
  </si>
  <si>
    <t>Mova remontinė HTU 110</t>
  </si>
  <si>
    <t>00679</t>
  </si>
  <si>
    <t>Mova ilgoji HTL 110</t>
  </si>
  <si>
    <t>00680</t>
  </si>
  <si>
    <t>Klozeto pajungimas tiesus 110x150</t>
  </si>
  <si>
    <t>00681</t>
  </si>
  <si>
    <t xml:space="preserve">Perėjimas guminis 32x26 </t>
  </si>
  <si>
    <t>00682</t>
  </si>
  <si>
    <t>Alkūnė HTB 32/15</t>
  </si>
  <si>
    <t>00683</t>
  </si>
  <si>
    <t>Alkūnė HTB 32/30</t>
  </si>
  <si>
    <t>00684</t>
  </si>
  <si>
    <t>Alkūnė HTB 32/87</t>
  </si>
  <si>
    <t>00685</t>
  </si>
  <si>
    <t>Trišakis HTEA 40/40 45</t>
  </si>
  <si>
    <t>00686</t>
  </si>
  <si>
    <t>Mova remontinė HTU 50</t>
  </si>
  <si>
    <t>00687</t>
  </si>
  <si>
    <t>Perėjimas HTR 50/32</t>
  </si>
  <si>
    <t>00688</t>
  </si>
  <si>
    <t>Vamzdis su mova HTEM 32/500</t>
  </si>
  <si>
    <t>00689</t>
  </si>
  <si>
    <t>Trišakis HTEA 50/40 45</t>
  </si>
  <si>
    <t>00690</t>
  </si>
  <si>
    <t>Perėjimas PP d 160 į ketų</t>
  </si>
  <si>
    <t>00691</t>
  </si>
  <si>
    <t>Tarpinė gum.pp/ketus d 160</t>
  </si>
  <si>
    <t>00692</t>
  </si>
  <si>
    <t xml:space="preserve">Mova PP d 160 lauko remontinė </t>
  </si>
  <si>
    <t>00693</t>
  </si>
  <si>
    <t>Trišakis PP d 160x100 45* lauko</t>
  </si>
  <si>
    <t>00694</t>
  </si>
  <si>
    <t>Trišakis PP d 160x160 45* lauko</t>
  </si>
  <si>
    <t>00695</t>
  </si>
  <si>
    <t xml:space="preserve">Perėjimas PP d 160x100 LK </t>
  </si>
  <si>
    <t>00696</t>
  </si>
  <si>
    <t xml:space="preserve">Alkūnė PP d 160 45* lauko </t>
  </si>
  <si>
    <t>00697</t>
  </si>
  <si>
    <t>Mova ilgoji HTL 50</t>
  </si>
  <si>
    <t>00698</t>
  </si>
  <si>
    <t>Alkūnė KGB 110/87</t>
  </si>
  <si>
    <t>00699</t>
  </si>
  <si>
    <t>Vamzdis su mova HTEM 50/1500</t>
  </si>
  <si>
    <t>00700</t>
  </si>
  <si>
    <t>Perėjimas ketus/plast. HL9/50 DN50</t>
  </si>
  <si>
    <t>Siurblys 3-jų greičių 25-60 180 su antg.</t>
  </si>
  <si>
    <t>Laikiklis vamzdžiui 100 3/4</t>
  </si>
  <si>
    <t>Laikiklis vamzdžiui 100 1 1/2"</t>
  </si>
  <si>
    <t>Laikiklis vamzdžiui U-100 108-110 su guma</t>
  </si>
  <si>
    <t>Sąvarža TORRO 16-27mm</t>
  </si>
  <si>
    <t>Laikiklis vamzdžiui U-15 20-25 su guma</t>
  </si>
  <si>
    <t>Laikiklis vamzdžiui 100 4" (20 vnt.)</t>
  </si>
  <si>
    <t>Laikiklis vamzdžiui 9826AK 22 viengubas</t>
  </si>
  <si>
    <t xml:space="preserve">Laikiklis vamzdžiui 1" 31-35 (50 vnt.) </t>
  </si>
  <si>
    <t>Laikiklis vamzdžiui 1/2" 20-25 su guma</t>
  </si>
  <si>
    <t xml:space="preserve">Laikiklis vamzdžiui 3/4" 26-30 su guma </t>
  </si>
  <si>
    <t>Laikiklis vamzdžiui 1" 32-36 su guma</t>
  </si>
  <si>
    <t>Laikiklis vamzdžiui 3/4 25-28</t>
  </si>
  <si>
    <t>Laikiklis vamzdžiui 3/4 dvig. su guma</t>
  </si>
  <si>
    <t>Laikiklis vamzdžiui 1 1/4" 38-43 su guma</t>
  </si>
  <si>
    <t xml:space="preserve">Laikiklis vamzdžiui 9827AK 22 dvigubas </t>
  </si>
  <si>
    <t>Laikiklis vamzdžiui 1"1/2 42-48.5</t>
  </si>
  <si>
    <t>Laikiklis vamzdžiui 2" 58-61</t>
  </si>
  <si>
    <t>Laikiklis vamzdžiui 4" 110-115</t>
  </si>
  <si>
    <t>Butelinis sifonas 1"1/4 x 1"1/4 (50)</t>
  </si>
  <si>
    <t>Sifonas HC1L-40J</t>
  </si>
  <si>
    <t>Sifonas dušui 1"1/2x40/50 su 45* išleid.</t>
  </si>
  <si>
    <t>Butelinis sifonas 1"1/4 x 1"1/4 su vamzd</t>
  </si>
  <si>
    <t>Išleidimo vožtuvas universalus 1"1/4x60</t>
  </si>
  <si>
    <t>Sifonas HC1L-40JS</t>
  </si>
  <si>
    <t>Skalbimo mašinos pajung.žarna 150cm.</t>
  </si>
  <si>
    <t>Sifono alkūnė 40 x 220 x 680 mm</t>
  </si>
  <si>
    <t>01010</t>
  </si>
  <si>
    <t>Praustuvo sifonas butelinis, be ventilio 1 1/4 x 40</t>
  </si>
  <si>
    <t>01011</t>
  </si>
  <si>
    <t>Trapas 110 plast/metal. Tiesus</t>
  </si>
  <si>
    <t>01012</t>
  </si>
  <si>
    <t>Trapas metalinis 50, šoninis pajung</t>
  </si>
  <si>
    <t>01013</t>
  </si>
  <si>
    <t>Sifonas plautuvei 1"1/2x50 su 45*</t>
  </si>
  <si>
    <t>01014</t>
  </si>
  <si>
    <t>Sifono HL4000 pajung.komp.1 įrenginiui</t>
  </si>
  <si>
    <t>01015</t>
  </si>
  <si>
    <t>Sifono HL4000 korpusas potinkinis</t>
  </si>
  <si>
    <t>01016</t>
  </si>
  <si>
    <t>Skalbimo mašinos pajung.žarna 200 cm.</t>
  </si>
  <si>
    <t>01017</t>
  </si>
  <si>
    <t>Sifonas HC1L-40JS su alkūne</t>
  </si>
  <si>
    <t>01018</t>
  </si>
  <si>
    <t>Kondensato sifonas HL138</t>
  </si>
  <si>
    <t>Klozeto pajungimo alkūnė 110x230 90*</t>
  </si>
  <si>
    <t>Klozeto pajungimo alkūnė 110x135 45*</t>
  </si>
  <si>
    <t>Klozeto pajungimas tiesus 110x250</t>
  </si>
  <si>
    <t xml:space="preserve">Klozeto pajungimo alkūnė 110x150 22,5* </t>
  </si>
  <si>
    <t>Klozeto pajungimas ekscentrinis 100</t>
  </si>
  <si>
    <t>Vandens žarna v v 100 cm</t>
  </si>
  <si>
    <t>Varžtai WC 2620 (2vnt) balti</t>
  </si>
  <si>
    <t>Bakelio tvirt. varžtai</t>
  </si>
  <si>
    <t>Vandens žarna v v 040</t>
  </si>
  <si>
    <t>Vandens žarna v v 80cm</t>
  </si>
  <si>
    <t xml:space="preserve">Aeratorius su išoriniu sriegiu </t>
  </si>
  <si>
    <t>Vandens žarna v v 060</t>
  </si>
  <si>
    <t>Tarpinė wc bakeliui</t>
  </si>
  <si>
    <t>Vandens žarna v v 050</t>
  </si>
  <si>
    <t>Vandens žarna v v 030</t>
  </si>
  <si>
    <t>maišytuvo žarna ilg 50cm</t>
  </si>
  <si>
    <t>maišytuvo žarna tr 50cm</t>
  </si>
  <si>
    <t>Žarnelė maišytuvui tr. 80cm</t>
  </si>
  <si>
    <t>Vandens žarna v v 50 cm 3/8x3/8</t>
  </si>
  <si>
    <t>Tvirtinimo varžtai kriauklei 110 10x120</t>
  </si>
  <si>
    <t>W0116</t>
  </si>
  <si>
    <t>Laikikliai šildytuvui (pisuarui) 103</t>
  </si>
  <si>
    <t>W0117</t>
  </si>
  <si>
    <t>Dušo žarna metalinė 150 cm. (MET/150.0)</t>
  </si>
  <si>
    <t>W0118</t>
  </si>
  <si>
    <t>Pisuaro tvirtinimai Korint</t>
  </si>
  <si>
    <t>W0119</t>
  </si>
  <si>
    <t>Varinis vamzdelis chrom. su 1/2 veržle</t>
  </si>
  <si>
    <t>W0120</t>
  </si>
  <si>
    <t>Armuotas vamzdelis 1/2x3/8 60cm</t>
  </si>
  <si>
    <t>W0121</t>
  </si>
  <si>
    <t>Armuotas vamzdelis 1/2x3/8 40cm</t>
  </si>
  <si>
    <t>W0122</t>
  </si>
  <si>
    <t>Maišytuvo žarnelė tr.60cm</t>
  </si>
  <si>
    <t>W0123</t>
  </si>
  <si>
    <t>Žarnelė maišytuvui ilg. 60cm.</t>
  </si>
  <si>
    <t>W0124</t>
  </si>
  <si>
    <t>Vandens žarna v i 020</t>
  </si>
  <si>
    <t>W0125</t>
  </si>
  <si>
    <t>Skalbimo mašinos išleidim.žarna 200 cm.</t>
  </si>
  <si>
    <t>Pisuaras Korint su sifonu</t>
  </si>
  <si>
    <t>WC rėmo paprastas tvirt. elem.</t>
  </si>
  <si>
    <t>WC įbėgimo mechanizmas A18 1/2 apat. žal</t>
  </si>
  <si>
    <t>WC nubėgimo mechanizmas A2000</t>
  </si>
  <si>
    <t>WC įbėgimo mechanizmas A16 3/8 šon.</t>
  </si>
  <si>
    <t>WC įbėgimo mechanizmas A16 1/2 šon.</t>
  </si>
  <si>
    <t>WC nubėgimo mechanizmas A08</t>
  </si>
  <si>
    <t>WC mechanizmų kompl. SA2000 1/2</t>
  </si>
  <si>
    <t>WC įbėgimo mechanizmas A18 3/8 apat.</t>
  </si>
  <si>
    <t>01207</t>
  </si>
  <si>
    <t>WC nubėgimo mechanizmas A08 dvigubas</t>
  </si>
  <si>
    <t>01208</t>
  </si>
  <si>
    <t>Nuleidėjas pisuarui ATS001</t>
  </si>
  <si>
    <t>01209</t>
  </si>
  <si>
    <t>WC nubėgimo mechanizmas A08A</t>
  </si>
  <si>
    <t>01210</t>
  </si>
  <si>
    <t>Pisuaro nuleidimo mechanizmas 1/2</t>
  </si>
  <si>
    <t>Santechninė pompa</t>
  </si>
  <si>
    <t>Sandariklis LOCTITE 55 48x160m</t>
  </si>
  <si>
    <t>Silikonas Gebsicone W2 (baltas)</t>
  </si>
  <si>
    <t xml:space="preserve">Gebatout2 80gr. (103102) </t>
  </si>
  <si>
    <t>Aerozolis sriegimui, 600 ml Spezial</t>
  </si>
  <si>
    <t>Techninis tepalas 250g</t>
  </si>
  <si>
    <t>Sandarinimo juostelė 14mm Kolmat Fibre seal</t>
  </si>
  <si>
    <t>Raktelis nuorintojui 718</t>
  </si>
  <si>
    <t>Pjovimo diskelis 125x1</t>
  </si>
  <si>
    <t>Gebatout2 200ml. (103103)</t>
  </si>
  <si>
    <t>Lino pluoštas 100g (815195)</t>
  </si>
  <si>
    <t>Sl. pasta aerozolis (GEBEX PLUS) 500ml</t>
  </si>
  <si>
    <t>Sandarinimo pasta MULTIPAK 50g</t>
  </si>
  <si>
    <t>01313</t>
  </si>
  <si>
    <t>Sandarinimo juostelė 12mm x 0,1mm x 12m</t>
  </si>
  <si>
    <t>01314</t>
  </si>
  <si>
    <t>Grąžtas betonui SDS plius 8x160</t>
  </si>
  <si>
    <t>01315</t>
  </si>
  <si>
    <t>01316</t>
  </si>
  <si>
    <t>01317</t>
  </si>
  <si>
    <t>Sandarinimo pasta UNIPAK 250g</t>
  </si>
  <si>
    <t>01318</t>
  </si>
  <si>
    <t>Loxeal klijai sriegiams sand. 50g</t>
  </si>
  <si>
    <t>01319</t>
  </si>
  <si>
    <t>Silikon.prieš pel.Stop Fungi Penosil 310ml baltas</t>
  </si>
  <si>
    <t>01320</t>
  </si>
  <si>
    <t>Silikon.prieš pel.Stop Fungi Penosil 310ml skaidrus</t>
  </si>
  <si>
    <t>01321</t>
  </si>
  <si>
    <t>Sąvarža TORO 27 *60</t>
  </si>
  <si>
    <t>01322</t>
  </si>
  <si>
    <t>Lino pluoštas (pakulos) 100g</t>
  </si>
  <si>
    <t>Maišytuvas plautuvei, vamzdžio ilgis 200</t>
  </si>
  <si>
    <t>Maišytuvas plautuvei, vamzdžio ilgis 150</t>
  </si>
  <si>
    <t>Maišytuvas dušui (be dušo žarn. ir gal.)</t>
  </si>
  <si>
    <t>Maišytuvas plautuvei 96096.0</t>
  </si>
  <si>
    <t>Maišytuvas praustuvui (92001/1.0 )</t>
  </si>
  <si>
    <t>Čiaupas praustuvei Titania (92005.0 )</t>
  </si>
  <si>
    <t>Maišytuvas plautuvei (92014.0 )</t>
  </si>
  <si>
    <t>Maišytuvas plautuvei 96091.0</t>
  </si>
  <si>
    <t>V0009</t>
  </si>
  <si>
    <t>Maišytuvas voniai/dušui, vamzdžio ilgis</t>
  </si>
  <si>
    <t>V0010</t>
  </si>
  <si>
    <t>Papildymo vožtuvas IM26104 ALM</t>
  </si>
  <si>
    <t>V0011</t>
  </si>
  <si>
    <t>Maišytuvas šaltam vandeniui</t>
  </si>
  <si>
    <t>V0012</t>
  </si>
  <si>
    <t xml:space="preserve">Maišytuvas praustuvui (96001/1.0) </t>
  </si>
  <si>
    <t>V0013</t>
  </si>
  <si>
    <t>Maišytuvas praustuvei/plautuvei 92070.0</t>
  </si>
  <si>
    <t>V0014</t>
  </si>
  <si>
    <t>Maišytuvas praustuvui ALGEO</t>
  </si>
  <si>
    <t>V0015</t>
  </si>
  <si>
    <t>Maišytuvas voniai ALGEO su dušo kompl.</t>
  </si>
  <si>
    <t>V0016</t>
  </si>
  <si>
    <t>Maišytuvas praustuvui BASIC</t>
  </si>
  <si>
    <t>V0017</t>
  </si>
  <si>
    <t>Maišytuvas voniai/dušui (su dušo komplektu)</t>
  </si>
  <si>
    <t>Praustuvas SOLO 50 (50x42) su skyle</t>
  </si>
  <si>
    <t>Tvirtinimo varžtai kriauklei 110 10x140</t>
  </si>
  <si>
    <t>Plautuvė n/p D6050A 600x500</t>
  </si>
  <si>
    <t>Praustuvas SOLO 40 (40x33) su skyle</t>
  </si>
  <si>
    <t>Dušo komplektas su laikikliu SOLE</t>
  </si>
  <si>
    <t>Dušo komplektas ALGEO</t>
  </si>
  <si>
    <t xml:space="preserve">Ventilis rutulinis 626(922) 1/2 </t>
  </si>
  <si>
    <t>Ventilis rutulinis 3/4" išard. jungt. Tr</t>
  </si>
  <si>
    <t>Ventilis Shell kampinis 1/2x1/2</t>
  </si>
  <si>
    <t>Kranelis 661(689) 1/2 su pajung. žar.il</t>
  </si>
  <si>
    <t>Ventilis Shell kampinis 1/2x10 su veržle</t>
  </si>
  <si>
    <t>Ventilis rutulinis 606 (605) 1" v-i (8)</t>
  </si>
  <si>
    <t>Ventilis rutulinis 332 1/2 su nuorintoju</t>
  </si>
  <si>
    <t>Ventilis rutulinis 606 (605) 1/2 v-i</t>
  </si>
  <si>
    <t>Ventilis rutulinis 601 (600) 1" v-v (10)</t>
  </si>
  <si>
    <t>Ventilis rutulinis 626(922) 1" su j.</t>
  </si>
  <si>
    <t>Ventilis Shell kampinis 1/2x3/8 be veržl.</t>
  </si>
  <si>
    <t>Ventilis rutulinis 626(922) 3/4 su j.</t>
  </si>
  <si>
    <t>Ventilis rutulinis 606 (605) 3/4 v-i</t>
  </si>
  <si>
    <t>Balansinis ventilis 1/2 tiesus</t>
  </si>
  <si>
    <t>Ventilis rutulinis 626(922) 1/2 su j.</t>
  </si>
  <si>
    <t>Apsauginis atbulinis vožtuvas d1/2</t>
  </si>
  <si>
    <t>Ventilis rutulinis 606(605)1"1/4 v-i (4)</t>
  </si>
  <si>
    <t>Ventilis rutulinis 626(922) 1" su j.(8)</t>
  </si>
  <si>
    <t>Ventilis rutulinis 322 1"1/4 su j.</t>
  </si>
  <si>
    <t>Ventilis rutulinis 601(600) 1/2 v-v (20)</t>
  </si>
  <si>
    <t>Ventilis 1"1/4' vid./iš. ilg.rank. 'Giacomini'</t>
  </si>
  <si>
    <t>Ventilis 2" vid./vid. ilg.rank. 'Giacomini'</t>
  </si>
  <si>
    <t>VT0023</t>
  </si>
  <si>
    <t>Ventilis 1"1/4' vid./vid. ilg.rank. 'Giacomini'</t>
  </si>
  <si>
    <t>VT0024</t>
  </si>
  <si>
    <t>Ventilis 1/2' vid./išor. ilg.rank. 'Giacomini'</t>
  </si>
  <si>
    <t>VT0025</t>
  </si>
  <si>
    <t>Sklendė rutulinė flan.PN16 D65</t>
  </si>
  <si>
    <t>VT0026</t>
  </si>
  <si>
    <t>Sklendė flanšinė 3'</t>
  </si>
  <si>
    <t>VT0027</t>
  </si>
  <si>
    <t>Sklendė flanšinė 4'</t>
  </si>
  <si>
    <t>VT0028</t>
  </si>
  <si>
    <t>Ventilis įvirinamas 2"1/2'</t>
  </si>
  <si>
    <t>VT0029</t>
  </si>
  <si>
    <t>Ventilis 2"1/2' v.v. ilg. Rankena</t>
  </si>
  <si>
    <t>VT0030</t>
  </si>
  <si>
    <t>Ventilis 1"1/2' vid./vid. ilg.rank. 'Giacomini'</t>
  </si>
  <si>
    <t>VT0031</t>
  </si>
  <si>
    <t>Ventilis rutulinis 602 1" v-v (10) tr.</t>
  </si>
  <si>
    <t>VT0032</t>
  </si>
  <si>
    <t>Ventilis rutulinis 607 1/2 v-i (24) tr</t>
  </si>
  <si>
    <t>VT0033</t>
  </si>
  <si>
    <t>SENA ventilis 1" v/v trumpa rankena</t>
  </si>
  <si>
    <t>VT0034</t>
  </si>
  <si>
    <t>Grįžt. sr. ventilis RLV -S 1/2, kamp</t>
  </si>
  <si>
    <t>VT0035</t>
  </si>
  <si>
    <t>SENA ventilis su antgaliu 1" v/i trumpa rankena</t>
  </si>
  <si>
    <t>VT0036</t>
  </si>
  <si>
    <t>SENA ventilis su nuorintoju 1/2" v/v ilga rankena</t>
  </si>
  <si>
    <t>VT0037</t>
  </si>
  <si>
    <t>SENA ventilis su antgaliu 1/2" v/i trumpa rankena</t>
  </si>
  <si>
    <t>VT0038</t>
  </si>
  <si>
    <t>Ventilis Shell 1/2-3/4 sk. mašinai</t>
  </si>
  <si>
    <t>VT0039</t>
  </si>
  <si>
    <t>SENA ventilis 1"1/2 v/i ilga rankena</t>
  </si>
  <si>
    <t>VT0040</t>
  </si>
  <si>
    <t>SENA ventilis su antgaliu 3/4" v/i trumpa rankena</t>
  </si>
  <si>
    <t>VT0041</t>
  </si>
  <si>
    <t>Grįžt. sr. ventilis RLV 1/2, tiesus</t>
  </si>
  <si>
    <t>VT0042</t>
  </si>
  <si>
    <t>Papildymo vožtuvas ALD 15</t>
  </si>
  <si>
    <t>VT0043</t>
  </si>
  <si>
    <t>Apsauginis vožtuvas SVH 1/2 1,5bar</t>
  </si>
  <si>
    <t>VT0044</t>
  </si>
  <si>
    <t>Grįžt. sr. ventilis RLV -S 1/2, kamp.</t>
  </si>
  <si>
    <t>VT0045</t>
  </si>
  <si>
    <t>SENA ventilis 1" v/i ilga rankena</t>
  </si>
  <si>
    <t>VT0046</t>
  </si>
  <si>
    <t>SENA ventilis 1"1/4 v/i ilga rankena</t>
  </si>
  <si>
    <t>VT0047</t>
  </si>
  <si>
    <t>SENA ventilis 3/4" i/i trumpa rankena</t>
  </si>
  <si>
    <t>VT0048</t>
  </si>
  <si>
    <t>Ventilis rutulinis 594 1/2"su jungt kamp</t>
  </si>
  <si>
    <t>VT0049</t>
  </si>
  <si>
    <t>Ventilis rutulinis 594 3/4"su jungt kamp</t>
  </si>
  <si>
    <t>VT0050</t>
  </si>
  <si>
    <t>Ventilis rutulinis 594 1" su jungt. Kamp</t>
  </si>
  <si>
    <t>VT0051</t>
  </si>
  <si>
    <t xml:space="preserve">Ventilis rutulinis 606(605)1"1/2 v-i (3) </t>
  </si>
  <si>
    <t>VT0052</t>
  </si>
  <si>
    <t>Ventilis rutulinis 3/4" išard. jungt. tr. rank.</t>
  </si>
  <si>
    <t>VT0053</t>
  </si>
  <si>
    <t>Balansinis ventilis su rank. 407 1/2 kam</t>
  </si>
  <si>
    <t>VT0054</t>
  </si>
  <si>
    <t xml:space="preserve">Balansinis ventilis su rank. 407D 1/2 tiesus </t>
  </si>
  <si>
    <t>VT0055</t>
  </si>
  <si>
    <t>Ventilis rutulinis 607 3/4 v-i</t>
  </si>
  <si>
    <t>VT0056</t>
  </si>
  <si>
    <t>Ventilis rutulinis su laisva veržle 1/2" v/v</t>
  </si>
  <si>
    <t>VT0057</t>
  </si>
  <si>
    <t>Ventilis rutulinis su laisva veržle 3/4" v/v</t>
  </si>
  <si>
    <t>VT0058</t>
  </si>
  <si>
    <t>Ventilis rutulinis 3/4" v/i tr. Rank.</t>
  </si>
  <si>
    <t>VT0059</t>
  </si>
  <si>
    <t>SENA ventilis su antgaliu 1 1/4" v/i trumpa rankena</t>
  </si>
  <si>
    <t>VT0060</t>
  </si>
  <si>
    <t>Ventilis tr.rankena 478 1/2"dujinis v-i</t>
  </si>
  <si>
    <t>VT0061</t>
  </si>
  <si>
    <t>Ventilis tr.rankena 478 3/4"dujinis v-i</t>
  </si>
  <si>
    <t>VT0062</t>
  </si>
  <si>
    <t>Apsauginis vožtuvas SVH/E 1/2 3bar</t>
  </si>
  <si>
    <t>VT0063</t>
  </si>
  <si>
    <t>Apsauginis vožtuvas SVW 1/2 6bar</t>
  </si>
  <si>
    <t>VT0064</t>
  </si>
  <si>
    <t>Ventilis rutulinis 606 (605) 2" v-i</t>
  </si>
  <si>
    <t>VT0065</t>
  </si>
  <si>
    <t>Ventilis Shell1/2-3/4 sk. mašinai</t>
  </si>
  <si>
    <t>VT0066</t>
  </si>
  <si>
    <t>Ventilis rutulinis 601(600)3/4 v-v</t>
  </si>
  <si>
    <t>VT0067</t>
  </si>
  <si>
    <t>Flanšinė sklendė DN150 GOST be rato</t>
  </si>
  <si>
    <t>VT0068</t>
  </si>
  <si>
    <t>Flanšinė sklendė DN150 F5 ilga be rato</t>
  </si>
  <si>
    <t>VT0069</t>
  </si>
  <si>
    <t>Flanšinė sklende DN200 PN10 GOST be rato</t>
  </si>
  <si>
    <t>VT0070</t>
  </si>
  <si>
    <t>Flanšinė sklendė DN100 GOST be rato</t>
  </si>
  <si>
    <t>VT0071</t>
  </si>
  <si>
    <t>Prailginimo velenas 2.0m-2.5m DN100/150 sklendei</t>
  </si>
  <si>
    <t>VT0072</t>
  </si>
  <si>
    <t>Prailginimo velenas 2.0m-2.5m DN200 sklendei</t>
  </si>
  <si>
    <t>VT0073</t>
  </si>
  <si>
    <t>Balansinis ventilis 1/2 kamp.chrom. PF</t>
  </si>
  <si>
    <t>VT0074</t>
  </si>
  <si>
    <t xml:space="preserve">Ventilis rutulinis 1/2" išard. jungt. tr. rank. </t>
  </si>
  <si>
    <t>VT0075</t>
  </si>
  <si>
    <t>Flanšinė sklendė DN100 F4 trumpa be rato</t>
  </si>
  <si>
    <t>Tarpinė gumine juoda 1/2</t>
  </si>
  <si>
    <t>Tarpinė gumine juoda 3/4</t>
  </si>
  <si>
    <t>Tarpinė paranitinė 3/4</t>
  </si>
  <si>
    <t>Tarpinė sujun. paro. d 25</t>
  </si>
  <si>
    <t>Tarpinė gumine juoda 1"</t>
  </si>
  <si>
    <t xml:space="preserve">Tarpinė flanšui D32 </t>
  </si>
  <si>
    <t>Tarpinė 2" srieginei jungčiai</t>
  </si>
  <si>
    <t>Tarpinė 1"1/2 srieginei jungčiai</t>
  </si>
  <si>
    <t>Tarpinė flanš. paro 2 1/2" DN65 (76.1mm)</t>
  </si>
  <si>
    <t>Tarpinė paranitinė 1/2</t>
  </si>
  <si>
    <t>Guminė tarpinė išardomoms jungtims A 1"1/2"</t>
  </si>
  <si>
    <t>T0013</t>
  </si>
  <si>
    <t xml:space="preserve">Tarpinė 1" srieginei jungčiai </t>
  </si>
  <si>
    <t>T0014</t>
  </si>
  <si>
    <t xml:space="preserve">Tarpinė paranitinė 1"1/4 </t>
  </si>
  <si>
    <t>T0015</t>
  </si>
  <si>
    <t>Tarpinė gumine juoda 1"1/4</t>
  </si>
  <si>
    <t>T0016</t>
  </si>
  <si>
    <t>Tarpinė paranitinė 1"</t>
  </si>
  <si>
    <t>T0017</t>
  </si>
  <si>
    <t>Tarpinė 1"</t>
  </si>
  <si>
    <t>T0018</t>
  </si>
  <si>
    <t xml:space="preserve">Guminė tarpinė išardomoms jungtims A 1"1/4" </t>
  </si>
  <si>
    <t>T0019</t>
  </si>
  <si>
    <t xml:space="preserve">Guminė tarpinė išardomoms jungtims A 1" </t>
  </si>
  <si>
    <t>T0020</t>
  </si>
  <si>
    <t xml:space="preserve">Tarpinė 1"1/4 srieginei jungčiai </t>
  </si>
  <si>
    <t>T0021</t>
  </si>
  <si>
    <t>Tarpinė DN100</t>
  </si>
  <si>
    <t>T0022</t>
  </si>
  <si>
    <t>Tarpinė DN150</t>
  </si>
  <si>
    <t>T0023</t>
  </si>
  <si>
    <t>Tarpinė DN200</t>
  </si>
  <si>
    <t>Vandens skatiklis d 32 šalto vandens</t>
  </si>
  <si>
    <t>Filtro korpusas Senior Duplex Plus 1" SE</t>
  </si>
  <si>
    <t>Kasetė mech. plaunama WR9</t>
  </si>
  <si>
    <t>Kasetė SP9-10</t>
  </si>
  <si>
    <t>Filtras Dosal skalb.m.</t>
  </si>
  <si>
    <t>Purvo/oro atskirtuvas Clean Smart 3/4 30</t>
  </si>
  <si>
    <t>Filtro korpusas Senior Plus 10" 3/4"</t>
  </si>
  <si>
    <t>Raktas U korpusui (2218)</t>
  </si>
  <si>
    <t>Laikiklis S korpusui (2219)</t>
  </si>
  <si>
    <t>Granuliuotos anglies kasetė IL-GAC/C1</t>
  </si>
  <si>
    <t>Filtro korpusas DP 10 Mono 3/4"</t>
  </si>
  <si>
    <t>01411</t>
  </si>
  <si>
    <t>Raktas X</t>
  </si>
  <si>
    <t>01412</t>
  </si>
  <si>
    <t>Kasetė CPP110-5 mikr.</t>
  </si>
  <si>
    <t>01413</t>
  </si>
  <si>
    <t>Kasetė CPP110-25 mikr.</t>
  </si>
  <si>
    <t>01414</t>
  </si>
  <si>
    <t>Aktyvuotos anglies granulių kasetė LA 10</t>
  </si>
  <si>
    <t>01415</t>
  </si>
  <si>
    <t xml:space="preserve">Laikiklis S </t>
  </si>
  <si>
    <t>01416</t>
  </si>
  <si>
    <t>Kasetė FA10-50</t>
  </si>
  <si>
    <t>01417</t>
  </si>
  <si>
    <t>Skaitiklis GSD/AF 1/2" L110</t>
  </si>
  <si>
    <t>01418</t>
  </si>
  <si>
    <t>Skaitiklis GSD/AF 3/4" L130</t>
  </si>
  <si>
    <t>01419</t>
  </si>
  <si>
    <t>Apsauga nuo kalkių "Dražice" Protectx red line G3/4"</t>
  </si>
  <si>
    <t>Antgalis su laisva verž d 32</t>
  </si>
  <si>
    <t xml:space="preserve">Mova AK1/2 x1/2 IS cink.AGA </t>
  </si>
  <si>
    <t xml:space="preserve">Mova pereinama d. 40x32 j </t>
  </si>
  <si>
    <t>AVK Supa Maxi adapteris DN100</t>
  </si>
  <si>
    <t>AVK Supa Maxi adapteris DN150</t>
  </si>
  <si>
    <t>Sandarinimo žiedas STOP DN150</t>
  </si>
  <si>
    <t>01456</t>
  </si>
  <si>
    <t>Balnas kieta apkaba PVC/PE DN160</t>
  </si>
  <si>
    <t>01457</t>
  </si>
  <si>
    <t>Ratas sklendei DN100/125/150</t>
  </si>
  <si>
    <t>Laikiklis vamzdžiui U-25 32-36 su guma</t>
  </si>
  <si>
    <t>Laikiklis 9826EK viengubas su apkaba 20</t>
  </si>
  <si>
    <t>Laikiklis vamzdžiui U-32 38-43 su guma</t>
  </si>
  <si>
    <t>Metalinė apkaba su guma 3/4" (25-29)</t>
  </si>
  <si>
    <t>Metalinė apkaba su guma 1" (32-36)</t>
  </si>
  <si>
    <t>Metalinė apkaba su guma 5/4" (40-45)</t>
  </si>
  <si>
    <t>Metalinė apkaba su guma 1/2"</t>
  </si>
  <si>
    <t>Metalinė apkaba su guma 2 1/2" (75-80)</t>
  </si>
  <si>
    <t>01509</t>
  </si>
  <si>
    <t>Laikiklis vamzdžiui 1" dvig. su guma</t>
  </si>
  <si>
    <t>01510</t>
  </si>
  <si>
    <t>Dviguba metalinė , cink. apkaba su varžtu vamzd.3/4", su gum.</t>
  </si>
  <si>
    <t>01511</t>
  </si>
  <si>
    <t>Laikiklis 9827EK 20 dvigubas su apkaba</t>
  </si>
  <si>
    <t>01904</t>
  </si>
  <si>
    <t>PE100 PN10 vamzdis 160*9.5</t>
  </si>
  <si>
    <t>01905</t>
  </si>
  <si>
    <t>PE100 PN10 vamzdis 110*6.6</t>
  </si>
  <si>
    <t>Kanalizacijos valiklis HK4442G</t>
  </si>
  <si>
    <t>! Data is fake to maintain confidentiality!</t>
  </si>
  <si>
    <t>Techninis tepalas</t>
  </si>
  <si>
    <t>JJK24 220V drenažinis siurblys</t>
  </si>
  <si>
    <t>D-K500 drenažinis siurblys</t>
  </si>
  <si>
    <t>UDRAIN-t S 112 trapo kompl, plokšč</t>
  </si>
  <si>
    <t>Siurblys MIX6 25U-4-130</t>
  </si>
  <si>
    <t>Siurblys YUKO6.0 25/1-6</t>
  </si>
  <si>
    <t>WC kompaktas 6L, horizontalus,</t>
  </si>
  <si>
    <t>WC kompaktas GORE 6L,horizontalus</t>
  </si>
  <si>
    <t>WC kompaktas GORE 6L,horizontalus, min</t>
  </si>
  <si>
    <t xml:space="preserve">Dangtis GORE minkštas (101) </t>
  </si>
  <si>
    <t>Dangtis GORE soft-close (131)</t>
  </si>
  <si>
    <t>Dangtis GORE soft-close (14)</t>
  </si>
  <si>
    <t>Dušo komplektas 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</si>
</sst>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00"/>
  </numFmts>
  <fonts count="27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8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sz val="10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9"/>
      <color theme="1"/>
      <name val="Calibri"/>
      <family val="2"/>
      <charset val="186"/>
      <scheme val="minor"/>
    </font>
    <font>
      <sz val="10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5" tint="0.39997558519241921"/>
      <name val="Calibri"/>
      <family val="2"/>
      <charset val="186"/>
      <scheme val="minor"/>
    </font>
    <font>
      <b/>
      <i/>
      <sz val="9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charset val="186"/>
      <scheme val="minor"/>
    </font>
    <font>
      <b/>
      <sz val="11"/>
      <color theme="5"/>
      <name val="Calibri"/>
      <family val="2"/>
      <charset val="186"/>
      <scheme val="minor"/>
    </font>
    <font>
      <b/>
      <sz val="11"/>
      <name val="Calibri"/>
      <family val="2"/>
      <charset val="186"/>
      <scheme val="minor"/>
    </font>
    <font>
      <sz val="11"/>
      <name val="Calibri"/>
      <family val="2"/>
      <scheme val="minor"/>
    </font>
    <font>
      <sz val="11"/>
      <color theme="9" tint="0.39997558519241921"/>
      <name val="Calibri"/>
      <family val="2"/>
      <charset val="186"/>
      <scheme val="minor"/>
    </font>
    <font>
      <sz val="11"/>
      <color theme="5" tint="0.79998168889431442"/>
      <name val="Calibri"/>
      <family val="2"/>
      <charset val="186"/>
      <scheme val="minor"/>
    </font>
    <font>
      <sz val="11"/>
      <color rgb="FFF4E1E0"/>
      <name val="Calibri"/>
      <family val="2"/>
      <charset val="186"/>
      <scheme val="minor"/>
    </font>
    <font>
      <b/>
      <sz val="18"/>
      <color rgb="FFC00000"/>
      <name val="Calibri"/>
      <family val="2"/>
      <charset val="186"/>
      <scheme val="minor"/>
    </font>
    <font>
      <sz val="11"/>
      <color rgb="FF860000"/>
      <name val="Calibri"/>
      <family val="2"/>
      <charset val="186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DBCB"/>
        <bgColor indexed="64"/>
      </patternFill>
    </fill>
    <fill>
      <patternFill patternType="solid">
        <fgColor rgb="FFBBD7C2"/>
        <bgColor indexed="64"/>
      </patternFill>
    </fill>
    <fill>
      <patternFill patternType="solid">
        <fgColor rgb="FFC3CFB9"/>
        <bgColor indexed="64"/>
      </patternFill>
    </fill>
    <fill>
      <patternFill patternType="solid">
        <fgColor rgb="FFA1C29E"/>
        <bgColor indexed="64"/>
      </patternFill>
    </fill>
    <fill>
      <patternFill patternType="solid">
        <fgColor rgb="FFF9AB6B"/>
        <bgColor indexed="64"/>
      </patternFill>
    </fill>
    <fill>
      <patternFill patternType="solid">
        <fgColor rgb="FFE8BBA0"/>
        <bgColor indexed="64"/>
      </patternFill>
    </fill>
    <fill>
      <patternFill patternType="solid">
        <fgColor rgb="FF9AC6C4"/>
        <bgColor indexed="64"/>
      </patternFill>
    </fill>
    <fill>
      <patternFill patternType="solid">
        <fgColor rgb="FFF8DC96"/>
        <bgColor indexed="64"/>
      </patternFill>
    </fill>
    <fill>
      <patternFill patternType="solid">
        <fgColor rgb="FFF5CE6B"/>
        <bgColor indexed="64"/>
      </patternFill>
    </fill>
    <fill>
      <patternFill patternType="solid">
        <fgColor rgb="FFCABA9E"/>
        <bgColor indexed="64"/>
      </patternFill>
    </fill>
    <fill>
      <patternFill patternType="solid">
        <fgColor rgb="FFC3CFEB"/>
        <bgColor indexed="64"/>
      </patternFill>
    </fill>
    <fill>
      <patternFill patternType="solid">
        <fgColor rgb="FFF2BF4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8CFD6"/>
        <bgColor indexed="64"/>
      </patternFill>
    </fill>
    <fill>
      <patternFill patternType="solid">
        <fgColor rgb="FF8DB1C1"/>
        <bgColor indexed="64"/>
      </patternFill>
    </fill>
    <fill>
      <patternFill patternType="solid">
        <fgColor rgb="FF88A1C6"/>
        <bgColor indexed="64"/>
      </patternFill>
    </fill>
    <fill>
      <patternFill patternType="solid">
        <fgColor rgb="FFA2770A"/>
        <bgColor indexed="64"/>
      </patternFill>
    </fill>
    <fill>
      <patternFill patternType="solid">
        <fgColor rgb="FFA99E67"/>
        <bgColor indexed="64"/>
      </patternFill>
    </fill>
    <fill>
      <patternFill patternType="solid">
        <fgColor rgb="FFC4A896"/>
        <bgColor indexed="64"/>
      </patternFill>
    </fill>
    <fill>
      <patternFill patternType="solid">
        <fgColor rgb="FFBC6250"/>
        <bgColor indexed="64"/>
      </patternFill>
    </fill>
    <fill>
      <patternFill patternType="solid">
        <fgColor rgb="FF9CA9B6"/>
        <bgColor indexed="64"/>
      </patternFill>
    </fill>
    <fill>
      <patternFill patternType="solid">
        <fgColor rgb="FFD8C9BA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99DB3"/>
        <bgColor indexed="64"/>
      </patternFill>
    </fill>
    <fill>
      <patternFill patternType="solid">
        <fgColor rgb="FFB4D2D4"/>
        <bgColor indexed="64"/>
      </patternFill>
    </fill>
    <fill>
      <patternFill patternType="solid">
        <fgColor rgb="FFD8D3D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DBB7AD"/>
        <bgColor indexed="64"/>
      </patternFill>
    </fill>
    <fill>
      <patternFill patternType="solid">
        <fgColor rgb="FF9ED4A1"/>
        <bgColor indexed="64"/>
      </patternFill>
    </fill>
    <fill>
      <patternFill patternType="solid">
        <fgColor rgb="FFBACD97"/>
        <bgColor indexed="64"/>
      </patternFill>
    </fill>
    <fill>
      <patternFill patternType="solid">
        <fgColor rgb="FFD2E7FE"/>
        <bgColor indexed="64"/>
      </patternFill>
    </fill>
    <fill>
      <patternFill patternType="solid">
        <fgColor rgb="FF404E5A"/>
        <bgColor indexed="64"/>
      </patternFill>
    </fill>
    <fill>
      <patternFill patternType="solid">
        <fgColor rgb="FFCCD0E6"/>
        <bgColor indexed="64"/>
      </patternFill>
    </fill>
    <fill>
      <patternFill patternType="solid">
        <fgColor rgb="FFD0E2D9"/>
        <bgColor indexed="64"/>
      </patternFill>
    </fill>
    <fill>
      <patternFill patternType="solid">
        <fgColor rgb="FFDCD2DA"/>
        <bgColor indexed="64"/>
      </patternFill>
    </fill>
    <fill>
      <patternFill patternType="solid">
        <fgColor rgb="FFBEE2B4"/>
        <bgColor indexed="64"/>
      </patternFill>
    </fill>
    <fill>
      <patternFill patternType="solid">
        <fgColor rgb="FFCABAC7"/>
        <bgColor indexed="64"/>
      </patternFill>
    </fill>
    <fill>
      <patternFill patternType="solid">
        <fgColor rgb="FFADD3C8"/>
        <bgColor indexed="64"/>
      </patternFill>
    </fill>
    <fill>
      <patternFill patternType="solid">
        <fgColor rgb="FFC9BE9B"/>
        <bgColor indexed="64"/>
      </patternFill>
    </fill>
    <fill>
      <patternFill patternType="solid">
        <fgColor rgb="FF9CD38D"/>
        <bgColor indexed="64"/>
      </patternFill>
    </fill>
    <fill>
      <patternFill patternType="solid">
        <fgColor rgb="FFB7A187"/>
        <bgColor indexed="64"/>
      </patternFill>
    </fill>
    <fill>
      <patternFill patternType="solid">
        <fgColor rgb="FFCFA46F"/>
        <bgColor indexed="64"/>
      </patternFill>
    </fill>
    <fill>
      <patternFill patternType="solid">
        <fgColor rgb="FF92CBCE"/>
        <bgColor indexed="64"/>
      </patternFill>
    </fill>
    <fill>
      <patternFill patternType="solid">
        <fgColor rgb="FFDCB194"/>
        <bgColor indexed="64"/>
      </patternFill>
    </fill>
    <fill>
      <patternFill patternType="solid">
        <fgColor rgb="FFEDF3F7"/>
        <bgColor indexed="64"/>
      </patternFill>
    </fill>
    <fill>
      <patternFill patternType="solid">
        <fgColor rgb="FFB0BFC8"/>
        <bgColor indexed="64"/>
      </patternFill>
    </fill>
    <fill>
      <patternFill patternType="solid">
        <fgColor rgb="FF95A9B5"/>
        <bgColor indexed="64"/>
      </patternFill>
    </fill>
    <fill>
      <patternFill patternType="solid">
        <fgColor rgb="FFADAACE"/>
        <bgColor indexed="64"/>
      </patternFill>
    </fill>
    <fill>
      <patternFill patternType="solid">
        <fgColor rgb="FFCE9168"/>
        <bgColor indexed="64"/>
      </patternFill>
    </fill>
    <fill>
      <patternFill patternType="solid">
        <fgColor rgb="FFFAE88E"/>
        <bgColor indexed="64"/>
      </patternFill>
    </fill>
    <fill>
      <patternFill patternType="solid">
        <fgColor rgb="FFCFC845"/>
        <bgColor indexed="64"/>
      </patternFill>
    </fill>
    <fill>
      <patternFill patternType="solid">
        <fgColor rgb="FFB5C86E"/>
        <bgColor indexed="64"/>
      </patternFill>
    </fill>
    <fill>
      <patternFill patternType="solid">
        <fgColor rgb="FFF3CE91"/>
        <bgColor indexed="64"/>
      </patternFill>
    </fill>
    <fill>
      <patternFill patternType="solid">
        <fgColor rgb="FF9BB9C5"/>
        <bgColor indexed="64"/>
      </patternFill>
    </fill>
    <fill>
      <patternFill patternType="solid">
        <fgColor rgb="FF90ADD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42">
    <xf numFmtId="0" fontId="0" fillId="0" borderId="0" xfId="0"/>
    <xf numFmtId="0" fontId="4" fillId="0" borderId="0" xfId="0" applyFont="1"/>
    <xf numFmtId="165" fontId="0" fillId="3" borderId="11" xfId="0" applyNumberFormat="1" applyFill="1" applyBorder="1" applyAlignment="1">
      <alignment horizontal="right"/>
    </xf>
    <xf numFmtId="49" fontId="7" fillId="5" borderId="10" xfId="1" applyNumberFormat="1" applyFont="1" applyFill="1" applyBorder="1" applyAlignment="1">
      <alignment horizontal="left"/>
    </xf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9" fontId="0" fillId="5" borderId="11" xfId="2" applyFont="1" applyFill="1" applyBorder="1" applyAlignment="1">
      <alignment horizontal="center"/>
    </xf>
    <xf numFmtId="165" fontId="0" fillId="5" borderId="11" xfId="0" applyNumberFormat="1" applyFill="1" applyBorder="1"/>
    <xf numFmtId="165" fontId="8" fillId="4" borderId="11" xfId="0" applyNumberFormat="1" applyFont="1" applyFill="1" applyBorder="1"/>
    <xf numFmtId="165" fontId="0" fillId="5" borderId="12" xfId="0" applyNumberFormat="1" applyFill="1" applyBorder="1"/>
    <xf numFmtId="49" fontId="7" fillId="6" borderId="10" xfId="1" applyNumberFormat="1" applyFont="1" applyFill="1" applyBorder="1" applyAlignment="1">
      <alignment horizontal="left"/>
    </xf>
    <xf numFmtId="0" fontId="0" fillId="6" borderId="11" xfId="0" applyFill="1" applyBorder="1"/>
    <xf numFmtId="0" fontId="0" fillId="6" borderId="11" xfId="0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9" fontId="0" fillId="6" borderId="11" xfId="2" applyFont="1" applyFill="1" applyBorder="1" applyAlignment="1">
      <alignment horizontal="center"/>
    </xf>
    <xf numFmtId="49" fontId="7" fillId="7" borderId="10" xfId="1" applyNumberFormat="1" applyFont="1" applyFill="1" applyBorder="1" applyAlignment="1">
      <alignment horizontal="left"/>
    </xf>
    <xf numFmtId="0" fontId="0" fillId="7" borderId="11" xfId="0" applyFill="1" applyBorder="1"/>
    <xf numFmtId="0" fontId="0" fillId="7" borderId="11" xfId="0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9" fontId="0" fillId="7" borderId="11" xfId="2" applyFont="1" applyFill="1" applyBorder="1" applyAlignment="1">
      <alignment horizontal="center"/>
    </xf>
    <xf numFmtId="165" fontId="0" fillId="7" borderId="11" xfId="0" applyNumberFormat="1" applyFill="1" applyBorder="1"/>
    <xf numFmtId="165" fontId="0" fillId="7" borderId="12" xfId="0" applyNumberFormat="1" applyFill="1" applyBorder="1"/>
    <xf numFmtId="49" fontId="7" fillId="8" borderId="10" xfId="1" applyNumberFormat="1" applyFont="1" applyFill="1" applyBorder="1" applyAlignment="1">
      <alignment horizontal="left"/>
    </xf>
    <xf numFmtId="0" fontId="0" fillId="8" borderId="11" xfId="0" applyFill="1" applyBorder="1"/>
    <xf numFmtId="0" fontId="0" fillId="8" borderId="11" xfId="0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9" fontId="0" fillId="8" borderId="11" xfId="2" applyFont="1" applyFill="1" applyBorder="1" applyAlignment="1">
      <alignment horizontal="center"/>
    </xf>
    <xf numFmtId="165" fontId="0" fillId="8" borderId="11" xfId="0" applyNumberFormat="1" applyFill="1" applyBorder="1"/>
    <xf numFmtId="165" fontId="0" fillId="8" borderId="12" xfId="0" applyNumberFormat="1" applyFill="1" applyBorder="1"/>
    <xf numFmtId="0" fontId="0" fillId="9" borderId="11" xfId="0" applyFill="1" applyBorder="1"/>
    <xf numFmtId="49" fontId="7" fillId="9" borderId="10" xfId="1" applyNumberFormat="1" applyFont="1" applyFill="1" applyBorder="1" applyAlignment="1">
      <alignment horizontal="left"/>
    </xf>
    <xf numFmtId="0" fontId="0" fillId="9" borderId="11" xfId="0" applyFill="1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9" fontId="0" fillId="9" borderId="11" xfId="2" applyFont="1" applyFill="1" applyBorder="1" applyAlignment="1">
      <alignment horizontal="center"/>
    </xf>
    <xf numFmtId="165" fontId="0" fillId="9" borderId="11" xfId="0" applyNumberFormat="1" applyFill="1" applyBorder="1"/>
    <xf numFmtId="165" fontId="0" fillId="9" borderId="12" xfId="0" applyNumberFormat="1" applyFill="1" applyBorder="1"/>
    <xf numFmtId="49" fontId="7" fillId="10" borderId="10" xfId="1" applyNumberFormat="1" applyFont="1" applyFill="1" applyBorder="1" applyAlignment="1">
      <alignment horizontal="left"/>
    </xf>
    <xf numFmtId="0" fontId="0" fillId="10" borderId="11" xfId="0" applyFill="1" applyBorder="1"/>
    <xf numFmtId="0" fontId="0" fillId="10" borderId="11" xfId="0" applyFill="1" applyBorder="1" applyAlignment="1">
      <alignment horizontal="center"/>
    </xf>
    <xf numFmtId="9" fontId="0" fillId="10" borderId="11" xfId="2" applyFont="1" applyFill="1" applyBorder="1" applyAlignment="1">
      <alignment horizontal="center"/>
    </xf>
    <xf numFmtId="165" fontId="0" fillId="10" borderId="11" xfId="0" applyNumberFormat="1" applyFill="1" applyBorder="1"/>
    <xf numFmtId="165" fontId="0" fillId="10" borderId="12" xfId="0" applyNumberFormat="1" applyFill="1" applyBorder="1"/>
    <xf numFmtId="2" fontId="0" fillId="10" borderId="11" xfId="0" applyNumberFormat="1" applyFill="1" applyBorder="1" applyAlignment="1">
      <alignment horizontal="center" vertical="center"/>
    </xf>
    <xf numFmtId="49" fontId="7" fillId="11" borderId="10" xfId="1" applyNumberFormat="1" applyFont="1" applyFill="1" applyBorder="1" applyAlignment="1">
      <alignment horizontal="left"/>
    </xf>
    <xf numFmtId="0" fontId="0" fillId="11" borderId="11" xfId="0" applyFill="1" applyBorder="1"/>
    <xf numFmtId="0" fontId="0" fillId="11" borderId="11" xfId="0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9" fontId="0" fillId="11" borderId="11" xfId="2" applyFont="1" applyFill="1" applyBorder="1" applyAlignment="1">
      <alignment horizontal="center"/>
    </xf>
    <xf numFmtId="165" fontId="0" fillId="11" borderId="11" xfId="0" applyNumberFormat="1" applyFill="1" applyBorder="1"/>
    <xf numFmtId="165" fontId="0" fillId="11" borderId="12" xfId="0" applyNumberFormat="1" applyFill="1" applyBorder="1"/>
    <xf numFmtId="49" fontId="7" fillId="12" borderId="10" xfId="1" applyNumberFormat="1" applyFont="1" applyFill="1" applyBorder="1" applyAlignment="1">
      <alignment horizontal="left"/>
    </xf>
    <xf numFmtId="0" fontId="0" fillId="12" borderId="11" xfId="0" applyFill="1" applyBorder="1"/>
    <xf numFmtId="0" fontId="0" fillId="12" borderId="11" xfId="0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9" fontId="0" fillId="12" borderId="11" xfId="2" applyFont="1" applyFill="1" applyBorder="1" applyAlignment="1">
      <alignment horizontal="center"/>
    </xf>
    <xf numFmtId="165" fontId="0" fillId="12" borderId="11" xfId="0" applyNumberFormat="1" applyFill="1" applyBorder="1"/>
    <xf numFmtId="165" fontId="0" fillId="12" borderId="12" xfId="0" applyNumberFormat="1" applyFill="1" applyBorder="1"/>
    <xf numFmtId="49" fontId="7" fillId="13" borderId="10" xfId="1" applyNumberFormat="1" applyFont="1" applyFill="1" applyBorder="1" applyAlignment="1">
      <alignment horizontal="left"/>
    </xf>
    <xf numFmtId="0" fontId="0" fillId="13" borderId="11" xfId="0" applyFill="1" applyBorder="1"/>
    <xf numFmtId="0" fontId="0" fillId="13" borderId="11" xfId="0" applyFill="1" applyBorder="1" applyAlignment="1">
      <alignment horizontal="center"/>
    </xf>
    <xf numFmtId="2" fontId="0" fillId="13" borderId="11" xfId="0" applyNumberFormat="1" applyFill="1" applyBorder="1" applyAlignment="1">
      <alignment horizontal="center" vertical="center"/>
    </xf>
    <xf numFmtId="9" fontId="0" fillId="13" borderId="11" xfId="2" applyFont="1" applyFill="1" applyBorder="1" applyAlignment="1">
      <alignment horizontal="center"/>
    </xf>
    <xf numFmtId="165" fontId="0" fillId="13" borderId="11" xfId="0" applyNumberFormat="1" applyFill="1" applyBorder="1"/>
    <xf numFmtId="165" fontId="0" fillId="13" borderId="12" xfId="0" applyNumberFormat="1" applyFill="1" applyBorder="1"/>
    <xf numFmtId="165" fontId="0" fillId="6" borderId="11" xfId="0" applyNumberFormat="1" applyFill="1" applyBorder="1"/>
    <xf numFmtId="165" fontId="0" fillId="6" borderId="12" xfId="0" applyNumberFormat="1" applyFill="1" applyBorder="1"/>
    <xf numFmtId="49" fontId="7" fillId="14" borderId="10" xfId="1" applyNumberFormat="1" applyFont="1" applyFill="1" applyBorder="1" applyAlignment="1">
      <alignment horizontal="left"/>
    </xf>
    <xf numFmtId="0" fontId="0" fillId="14" borderId="11" xfId="0" applyFill="1" applyBorder="1"/>
    <xf numFmtId="0" fontId="0" fillId="14" borderId="11" xfId="0" applyFill="1" applyBorder="1" applyAlignment="1">
      <alignment horizontal="center"/>
    </xf>
    <xf numFmtId="0" fontId="0" fillId="14" borderId="11" xfId="0" applyFill="1" applyBorder="1" applyAlignment="1">
      <alignment horizontal="center" vertical="center"/>
    </xf>
    <xf numFmtId="9" fontId="0" fillId="14" borderId="11" xfId="2" applyFont="1" applyFill="1" applyBorder="1" applyAlignment="1">
      <alignment horizontal="center"/>
    </xf>
    <xf numFmtId="165" fontId="0" fillId="14" borderId="11" xfId="0" applyNumberFormat="1" applyFill="1" applyBorder="1"/>
    <xf numFmtId="165" fontId="0" fillId="14" borderId="12" xfId="0" applyNumberFormat="1" applyFill="1" applyBorder="1"/>
    <xf numFmtId="49" fontId="7" fillId="15" borderId="10" xfId="1" applyNumberFormat="1" applyFont="1" applyFill="1" applyBorder="1" applyAlignment="1">
      <alignment horizontal="left"/>
    </xf>
    <xf numFmtId="0" fontId="0" fillId="15" borderId="11" xfId="0" applyFill="1" applyBorder="1"/>
    <xf numFmtId="0" fontId="0" fillId="15" borderId="11" xfId="0" applyFill="1" applyBorder="1" applyAlignment="1">
      <alignment horizontal="center"/>
    </xf>
    <xf numFmtId="0" fontId="0" fillId="15" borderId="11" xfId="0" applyFill="1" applyBorder="1" applyAlignment="1">
      <alignment horizontal="center" vertical="center"/>
    </xf>
    <xf numFmtId="9" fontId="0" fillId="15" borderId="11" xfId="2" applyFont="1" applyFill="1" applyBorder="1" applyAlignment="1">
      <alignment horizontal="center"/>
    </xf>
    <xf numFmtId="165" fontId="0" fillId="15" borderId="11" xfId="0" applyNumberFormat="1" applyFill="1" applyBorder="1"/>
    <xf numFmtId="165" fontId="0" fillId="15" borderId="12" xfId="0" applyNumberFormat="1" applyFill="1" applyBorder="1"/>
    <xf numFmtId="49" fontId="7" fillId="16" borderId="10" xfId="1" applyNumberFormat="1" applyFont="1" applyFill="1" applyBorder="1" applyAlignment="1">
      <alignment horizontal="left"/>
    </xf>
    <xf numFmtId="0" fontId="0" fillId="16" borderId="11" xfId="0" applyFill="1" applyBorder="1"/>
    <xf numFmtId="0" fontId="0" fillId="16" borderId="11" xfId="0" applyFill="1" applyBorder="1" applyAlignment="1">
      <alignment horizontal="center"/>
    </xf>
    <xf numFmtId="0" fontId="0" fillId="16" borderId="11" xfId="0" applyFill="1" applyBorder="1" applyAlignment="1">
      <alignment horizontal="center" vertical="center"/>
    </xf>
    <xf numFmtId="9" fontId="0" fillId="16" borderId="11" xfId="2" applyFont="1" applyFill="1" applyBorder="1" applyAlignment="1">
      <alignment horizontal="center"/>
    </xf>
    <xf numFmtId="165" fontId="0" fillId="16" borderId="11" xfId="0" applyNumberFormat="1" applyFill="1" applyBorder="1"/>
    <xf numFmtId="165" fontId="0" fillId="16" borderId="12" xfId="0" applyNumberFormat="1" applyFill="1" applyBorder="1"/>
    <xf numFmtId="49" fontId="7" fillId="17" borderId="10" xfId="1" applyNumberFormat="1" applyFont="1" applyFill="1" applyBorder="1" applyAlignment="1">
      <alignment horizontal="left"/>
    </xf>
    <xf numFmtId="0" fontId="0" fillId="17" borderId="11" xfId="0" applyFill="1" applyBorder="1"/>
    <xf numFmtId="0" fontId="0" fillId="17" borderId="11" xfId="0" applyFill="1" applyBorder="1" applyAlignment="1">
      <alignment horizontal="center"/>
    </xf>
    <xf numFmtId="9" fontId="0" fillId="17" borderId="11" xfId="2" applyFont="1" applyFill="1" applyBorder="1" applyAlignment="1">
      <alignment horizontal="center"/>
    </xf>
    <xf numFmtId="165" fontId="0" fillId="17" borderId="11" xfId="0" applyNumberFormat="1" applyFill="1" applyBorder="1"/>
    <xf numFmtId="165" fontId="0" fillId="17" borderId="12" xfId="0" applyNumberFormat="1" applyFill="1" applyBorder="1"/>
    <xf numFmtId="49" fontId="7" fillId="18" borderId="10" xfId="1" applyNumberFormat="1" applyFont="1" applyFill="1" applyBorder="1" applyAlignment="1">
      <alignment horizontal="left"/>
    </xf>
    <xf numFmtId="0" fontId="0" fillId="18" borderId="11" xfId="0" applyFill="1" applyBorder="1"/>
    <xf numFmtId="0" fontId="0" fillId="18" borderId="11" xfId="0" applyFill="1" applyBorder="1" applyAlignment="1">
      <alignment horizontal="center"/>
    </xf>
    <xf numFmtId="0" fontId="0" fillId="18" borderId="11" xfId="0" applyFill="1" applyBorder="1" applyAlignment="1">
      <alignment horizontal="center" vertical="center"/>
    </xf>
    <xf numFmtId="9" fontId="0" fillId="18" borderId="11" xfId="2" applyFont="1" applyFill="1" applyBorder="1" applyAlignment="1">
      <alignment horizontal="center"/>
    </xf>
    <xf numFmtId="165" fontId="0" fillId="18" borderId="11" xfId="0" applyNumberFormat="1" applyFill="1" applyBorder="1"/>
    <xf numFmtId="165" fontId="0" fillId="18" borderId="12" xfId="0" applyNumberFormat="1" applyFill="1" applyBorder="1"/>
    <xf numFmtId="49" fontId="7" fillId="19" borderId="10" xfId="1" applyNumberFormat="1" applyFont="1" applyFill="1" applyBorder="1" applyAlignment="1">
      <alignment horizontal="left"/>
    </xf>
    <xf numFmtId="0" fontId="0" fillId="19" borderId="11" xfId="0" applyFill="1" applyBorder="1"/>
    <xf numFmtId="0" fontId="0" fillId="19" borderId="11" xfId="0" applyFill="1" applyBorder="1" applyAlignment="1">
      <alignment horizontal="center"/>
    </xf>
    <xf numFmtId="0" fontId="0" fillId="19" borderId="11" xfId="0" applyFill="1" applyBorder="1" applyAlignment="1">
      <alignment horizontal="center" vertical="center"/>
    </xf>
    <xf numFmtId="9" fontId="0" fillId="19" borderId="11" xfId="2" applyFont="1" applyFill="1" applyBorder="1" applyAlignment="1">
      <alignment horizontal="center"/>
    </xf>
    <xf numFmtId="165" fontId="0" fillId="19" borderId="11" xfId="0" applyNumberFormat="1" applyFill="1" applyBorder="1"/>
    <xf numFmtId="165" fontId="0" fillId="19" borderId="12" xfId="0" applyNumberFormat="1" applyFill="1" applyBorder="1"/>
    <xf numFmtId="49" fontId="7" fillId="20" borderId="10" xfId="1" applyNumberFormat="1" applyFont="1" applyFill="1" applyBorder="1" applyAlignment="1">
      <alignment horizontal="left"/>
    </xf>
    <xf numFmtId="0" fontId="0" fillId="20" borderId="11" xfId="0" applyFill="1" applyBorder="1"/>
    <xf numFmtId="0" fontId="0" fillId="20" borderId="11" xfId="0" applyFill="1" applyBorder="1" applyAlignment="1">
      <alignment horizontal="center"/>
    </xf>
    <xf numFmtId="0" fontId="0" fillId="20" borderId="11" xfId="0" applyFill="1" applyBorder="1" applyAlignment="1">
      <alignment horizontal="center" vertical="center"/>
    </xf>
    <xf numFmtId="9" fontId="0" fillId="20" borderId="11" xfId="2" applyFont="1" applyFill="1" applyBorder="1" applyAlignment="1">
      <alignment horizontal="center"/>
    </xf>
    <xf numFmtId="165" fontId="0" fillId="20" borderId="11" xfId="0" applyNumberFormat="1" applyFill="1" applyBorder="1"/>
    <xf numFmtId="165" fontId="0" fillId="20" borderId="12" xfId="0" applyNumberFormat="1" applyFill="1" applyBorder="1"/>
    <xf numFmtId="0" fontId="0" fillId="0" borderId="0" xfId="0" applyAlignment="1">
      <alignment horizontal="center"/>
    </xf>
    <xf numFmtId="49" fontId="7" fillId="21" borderId="10" xfId="1" applyNumberFormat="1" applyFont="1" applyFill="1" applyBorder="1" applyAlignment="1">
      <alignment horizontal="left"/>
    </xf>
    <xf numFmtId="0" fontId="0" fillId="21" borderId="11" xfId="0" applyFill="1" applyBorder="1"/>
    <xf numFmtId="0" fontId="0" fillId="21" borderId="11" xfId="0" applyFill="1" applyBorder="1" applyAlignment="1">
      <alignment horizontal="center"/>
    </xf>
    <xf numFmtId="2" fontId="0" fillId="21" borderId="11" xfId="0" applyNumberFormat="1" applyFill="1" applyBorder="1" applyAlignment="1">
      <alignment horizontal="center" vertical="center"/>
    </xf>
    <xf numFmtId="9" fontId="0" fillId="21" borderId="11" xfId="2" applyFont="1" applyFill="1" applyBorder="1" applyAlignment="1">
      <alignment horizontal="center"/>
    </xf>
    <xf numFmtId="165" fontId="0" fillId="21" borderId="11" xfId="0" applyNumberFormat="1" applyFill="1" applyBorder="1"/>
    <xf numFmtId="165" fontId="0" fillId="21" borderId="12" xfId="0" applyNumberFormat="1" applyFill="1" applyBorder="1"/>
    <xf numFmtId="49" fontId="7" fillId="22" borderId="10" xfId="1" applyNumberFormat="1" applyFont="1" applyFill="1" applyBorder="1" applyAlignment="1">
      <alignment horizontal="left"/>
    </xf>
    <xf numFmtId="0" fontId="0" fillId="22" borderId="11" xfId="0" applyFill="1" applyBorder="1"/>
    <xf numFmtId="0" fontId="0" fillId="22" borderId="11" xfId="0" applyFill="1" applyBorder="1" applyAlignment="1">
      <alignment horizontal="center"/>
    </xf>
    <xf numFmtId="2" fontId="0" fillId="22" borderId="11" xfId="0" applyNumberFormat="1" applyFill="1" applyBorder="1" applyAlignment="1">
      <alignment horizontal="center" vertical="center"/>
    </xf>
    <xf numFmtId="9" fontId="0" fillId="22" borderId="11" xfId="2" applyFont="1" applyFill="1" applyBorder="1" applyAlignment="1">
      <alignment horizontal="center"/>
    </xf>
    <xf numFmtId="165" fontId="0" fillId="22" borderId="11" xfId="0" applyNumberFormat="1" applyFill="1" applyBorder="1"/>
    <xf numFmtId="165" fontId="0" fillId="22" borderId="12" xfId="0" applyNumberFormat="1" applyFill="1" applyBorder="1"/>
    <xf numFmtId="49" fontId="7" fillId="13" borderId="2" xfId="1" applyNumberFormat="1" applyFont="1" applyFill="1" applyBorder="1" applyAlignment="1">
      <alignment horizontal="left"/>
    </xf>
    <xf numFmtId="0" fontId="0" fillId="13" borderId="3" xfId="0" applyFill="1" applyBorder="1"/>
    <xf numFmtId="0" fontId="0" fillId="13" borderId="3" xfId="0" applyFill="1" applyBorder="1" applyAlignment="1">
      <alignment horizontal="center"/>
    </xf>
    <xf numFmtId="2" fontId="0" fillId="13" borderId="3" xfId="0" applyNumberFormat="1" applyFill="1" applyBorder="1" applyAlignment="1">
      <alignment horizontal="center" vertical="center"/>
    </xf>
    <xf numFmtId="9" fontId="0" fillId="13" borderId="3" xfId="2" applyFont="1" applyFill="1" applyBorder="1" applyAlignment="1">
      <alignment horizontal="center"/>
    </xf>
    <xf numFmtId="165" fontId="0" fillId="3" borderId="3" xfId="0" applyNumberFormat="1" applyFill="1" applyBorder="1" applyAlignment="1">
      <alignment horizontal="right"/>
    </xf>
    <xf numFmtId="165" fontId="0" fillId="13" borderId="3" xfId="0" applyNumberFormat="1" applyFill="1" applyBorder="1"/>
    <xf numFmtId="165" fontId="8" fillId="4" borderId="3" xfId="0" applyNumberFormat="1" applyFont="1" applyFill="1" applyBorder="1"/>
    <xf numFmtId="165" fontId="0" fillId="13" borderId="4" xfId="0" applyNumberFormat="1" applyFill="1" applyBorder="1"/>
    <xf numFmtId="0" fontId="0" fillId="10" borderId="11" xfId="0" applyFill="1" applyBorder="1" applyAlignment="1">
      <alignment horizontal="center" vertical="center"/>
    </xf>
    <xf numFmtId="49" fontId="7" fillId="23" borderId="10" xfId="1" applyNumberFormat="1" applyFont="1" applyFill="1" applyBorder="1" applyAlignment="1">
      <alignment horizontal="left"/>
    </xf>
    <xf numFmtId="0" fontId="0" fillId="23" borderId="11" xfId="0" applyFill="1" applyBorder="1"/>
    <xf numFmtId="0" fontId="0" fillId="23" borderId="11" xfId="0" applyFill="1" applyBorder="1" applyAlignment="1">
      <alignment horizontal="center"/>
    </xf>
    <xf numFmtId="0" fontId="0" fillId="23" borderId="11" xfId="0" applyFill="1" applyBorder="1" applyAlignment="1">
      <alignment horizontal="center" vertical="center"/>
    </xf>
    <xf numFmtId="9" fontId="0" fillId="23" borderId="11" xfId="2" applyFont="1" applyFill="1" applyBorder="1" applyAlignment="1">
      <alignment horizontal="center"/>
    </xf>
    <xf numFmtId="165" fontId="0" fillId="23" borderId="11" xfId="0" applyNumberFormat="1" applyFill="1" applyBorder="1"/>
    <xf numFmtId="165" fontId="0" fillId="23" borderId="12" xfId="0" applyNumberFormat="1" applyFill="1" applyBorder="1"/>
    <xf numFmtId="0" fontId="10" fillId="2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9" fontId="4" fillId="9" borderId="11" xfId="2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 vertical="center" wrapText="1"/>
    </xf>
    <xf numFmtId="165" fontId="0" fillId="3" borderId="10" xfId="0" applyNumberFormat="1" applyFill="1" applyBorder="1"/>
    <xf numFmtId="165" fontId="0" fillId="0" borderId="0" xfId="0" applyNumberFormat="1"/>
    <xf numFmtId="49" fontId="7" fillId="25" borderId="10" xfId="1" applyNumberFormat="1" applyFont="1" applyFill="1" applyBorder="1" applyAlignment="1">
      <alignment horizontal="left"/>
    </xf>
    <xf numFmtId="0" fontId="0" fillId="25" borderId="11" xfId="0" applyFill="1" applyBorder="1"/>
    <xf numFmtId="0" fontId="0" fillId="25" borderId="11" xfId="0" applyFill="1" applyBorder="1" applyAlignment="1">
      <alignment horizontal="center"/>
    </xf>
    <xf numFmtId="0" fontId="0" fillId="25" borderId="11" xfId="0" applyFill="1" applyBorder="1" applyAlignment="1">
      <alignment horizontal="center" vertical="center"/>
    </xf>
    <xf numFmtId="9" fontId="0" fillId="25" borderId="11" xfId="2" applyFont="1" applyFill="1" applyBorder="1" applyAlignment="1">
      <alignment horizontal="center"/>
    </xf>
    <xf numFmtId="165" fontId="0" fillId="25" borderId="11" xfId="0" applyNumberFormat="1" applyFill="1" applyBorder="1"/>
    <xf numFmtId="165" fontId="0" fillId="25" borderId="12" xfId="0" applyNumberFormat="1" applyFill="1" applyBorder="1"/>
    <xf numFmtId="9" fontId="4" fillId="7" borderId="11" xfId="2" applyFont="1" applyFill="1" applyBorder="1" applyAlignment="1">
      <alignment horizontal="center"/>
    </xf>
    <xf numFmtId="9" fontId="4" fillId="8" borderId="11" xfId="2" applyFont="1" applyFill="1" applyBorder="1" applyAlignment="1">
      <alignment horizontal="center"/>
    </xf>
    <xf numFmtId="9" fontId="4" fillId="10" borderId="11" xfId="2" applyFont="1" applyFill="1" applyBorder="1" applyAlignment="1">
      <alignment horizontal="center"/>
    </xf>
    <xf numFmtId="9" fontId="4" fillId="13" borderId="11" xfId="2" applyFont="1" applyFill="1" applyBorder="1" applyAlignment="1">
      <alignment horizontal="center"/>
    </xf>
    <xf numFmtId="9" fontId="4" fillId="21" borderId="11" xfId="2" applyFont="1" applyFill="1" applyBorder="1" applyAlignment="1">
      <alignment horizontal="center"/>
    </xf>
    <xf numFmtId="9" fontId="4" fillId="22" borderId="11" xfId="2" applyFont="1" applyFill="1" applyBorder="1" applyAlignment="1">
      <alignment horizontal="center"/>
    </xf>
    <xf numFmtId="9" fontId="4" fillId="17" borderId="11" xfId="2" applyFont="1" applyFill="1" applyBorder="1" applyAlignment="1">
      <alignment horizontal="center"/>
    </xf>
    <xf numFmtId="9" fontId="4" fillId="14" borderId="11" xfId="2" applyFont="1" applyFill="1" applyBorder="1" applyAlignment="1">
      <alignment horizontal="center"/>
    </xf>
    <xf numFmtId="9" fontId="4" fillId="15" borderId="11" xfId="2" applyFont="1" applyFill="1" applyBorder="1" applyAlignment="1">
      <alignment horizontal="center"/>
    </xf>
    <xf numFmtId="9" fontId="4" fillId="16" borderId="11" xfId="2" applyFont="1" applyFill="1" applyBorder="1" applyAlignment="1">
      <alignment horizontal="center"/>
    </xf>
    <xf numFmtId="9" fontId="4" fillId="18" borderId="11" xfId="2" applyFont="1" applyFill="1" applyBorder="1" applyAlignment="1">
      <alignment horizontal="center"/>
    </xf>
    <xf numFmtId="9" fontId="4" fillId="25" borderId="11" xfId="2" applyFont="1" applyFill="1" applyBorder="1" applyAlignment="1">
      <alignment horizontal="center"/>
    </xf>
    <xf numFmtId="49" fontId="7" fillId="26" borderId="10" xfId="1" applyNumberFormat="1" applyFont="1" applyFill="1" applyBorder="1" applyAlignment="1">
      <alignment horizontal="left"/>
    </xf>
    <xf numFmtId="0" fontId="0" fillId="26" borderId="11" xfId="0" applyFill="1" applyBorder="1"/>
    <xf numFmtId="0" fontId="0" fillId="26" borderId="11" xfId="0" applyFill="1" applyBorder="1" applyAlignment="1">
      <alignment horizontal="center"/>
    </xf>
    <xf numFmtId="0" fontId="0" fillId="26" borderId="11" xfId="0" applyFill="1" applyBorder="1" applyAlignment="1">
      <alignment horizontal="center" vertical="center"/>
    </xf>
    <xf numFmtId="9" fontId="0" fillId="26" borderId="11" xfId="2" applyFont="1" applyFill="1" applyBorder="1" applyAlignment="1">
      <alignment horizontal="center"/>
    </xf>
    <xf numFmtId="165" fontId="0" fillId="26" borderId="11" xfId="0" applyNumberFormat="1" applyFill="1" applyBorder="1"/>
    <xf numFmtId="165" fontId="0" fillId="26" borderId="12" xfId="0" applyNumberFormat="1" applyFill="1" applyBorder="1"/>
    <xf numFmtId="9" fontId="4" fillId="19" borderId="11" xfId="2" applyFont="1" applyFill="1" applyBorder="1" applyAlignment="1">
      <alignment horizontal="center"/>
    </xf>
    <xf numFmtId="9" fontId="4" fillId="20" borderId="11" xfId="2" applyFont="1" applyFill="1" applyBorder="1" applyAlignment="1">
      <alignment horizontal="center"/>
    </xf>
    <xf numFmtId="9" fontId="4" fillId="6" borderId="11" xfId="2" applyFont="1" applyFill="1" applyBorder="1" applyAlignment="1">
      <alignment horizontal="center"/>
    </xf>
    <xf numFmtId="49" fontId="7" fillId="27" borderId="10" xfId="1" applyNumberFormat="1" applyFont="1" applyFill="1" applyBorder="1" applyAlignment="1">
      <alignment horizontal="left"/>
    </xf>
    <xf numFmtId="0" fontId="0" fillId="27" borderId="11" xfId="0" applyFill="1" applyBorder="1"/>
    <xf numFmtId="0" fontId="0" fillId="27" borderId="11" xfId="0" applyFill="1" applyBorder="1" applyAlignment="1">
      <alignment horizontal="center"/>
    </xf>
    <xf numFmtId="0" fontId="0" fillId="27" borderId="11" xfId="0" applyFill="1" applyBorder="1" applyAlignment="1">
      <alignment horizontal="center" vertical="center"/>
    </xf>
    <xf numFmtId="9" fontId="0" fillId="27" borderId="11" xfId="2" applyFont="1" applyFill="1" applyBorder="1" applyAlignment="1">
      <alignment horizontal="center"/>
    </xf>
    <xf numFmtId="9" fontId="4" fillId="27" borderId="11" xfId="2" applyFont="1" applyFill="1" applyBorder="1" applyAlignment="1">
      <alignment horizontal="center"/>
    </xf>
    <xf numFmtId="165" fontId="0" fillId="27" borderId="11" xfId="0" applyNumberFormat="1" applyFill="1" applyBorder="1"/>
    <xf numFmtId="165" fontId="0" fillId="27" borderId="12" xfId="0" applyNumberFormat="1" applyFill="1" applyBorder="1"/>
    <xf numFmtId="49" fontId="7" fillId="28" borderId="10" xfId="1" applyNumberFormat="1" applyFont="1" applyFill="1" applyBorder="1" applyAlignment="1">
      <alignment horizontal="left"/>
    </xf>
    <xf numFmtId="0" fontId="0" fillId="28" borderId="11" xfId="0" applyFill="1" applyBorder="1"/>
    <xf numFmtId="0" fontId="0" fillId="28" borderId="11" xfId="0" applyFill="1" applyBorder="1" applyAlignment="1">
      <alignment horizontal="center"/>
    </xf>
    <xf numFmtId="0" fontId="0" fillId="28" borderId="11" xfId="0" applyFill="1" applyBorder="1" applyAlignment="1">
      <alignment horizontal="center" vertical="center"/>
    </xf>
    <xf numFmtId="9" fontId="0" fillId="28" borderId="11" xfId="2" applyFont="1" applyFill="1" applyBorder="1" applyAlignment="1">
      <alignment horizontal="center"/>
    </xf>
    <xf numFmtId="165" fontId="0" fillId="28" borderId="11" xfId="0" applyNumberFormat="1" applyFill="1" applyBorder="1"/>
    <xf numFmtId="165" fontId="0" fillId="28" borderId="12" xfId="0" applyNumberFormat="1" applyFill="1" applyBorder="1"/>
    <xf numFmtId="49" fontId="11" fillId="29" borderId="10" xfId="1" applyNumberFormat="1" applyFont="1" applyFill="1" applyBorder="1" applyAlignment="1">
      <alignment horizontal="left"/>
    </xf>
    <xf numFmtId="0" fontId="12" fillId="29" borderId="11" xfId="0" applyFont="1" applyFill="1" applyBorder="1"/>
    <xf numFmtId="0" fontId="12" fillId="29" borderId="11" xfId="0" applyFont="1" applyFill="1" applyBorder="1" applyAlignment="1">
      <alignment horizontal="center"/>
    </xf>
    <xf numFmtId="0" fontId="12" fillId="29" borderId="11" xfId="0" applyFont="1" applyFill="1" applyBorder="1" applyAlignment="1">
      <alignment horizontal="center" vertical="center"/>
    </xf>
    <xf numFmtId="9" fontId="12" fillId="29" borderId="11" xfId="2" applyFont="1" applyFill="1" applyBorder="1" applyAlignment="1">
      <alignment horizontal="center"/>
    </xf>
    <xf numFmtId="165" fontId="12" fillId="29" borderId="11" xfId="0" applyNumberFormat="1" applyFont="1" applyFill="1" applyBorder="1"/>
    <xf numFmtId="165" fontId="12" fillId="29" borderId="12" xfId="0" applyNumberFormat="1" applyFont="1" applyFill="1" applyBorder="1"/>
    <xf numFmtId="9" fontId="13" fillId="29" borderId="11" xfId="2" applyFont="1" applyFill="1" applyBorder="1" applyAlignment="1">
      <alignment horizontal="center"/>
    </xf>
    <xf numFmtId="49" fontId="7" fillId="30" borderId="10" xfId="1" applyNumberFormat="1" applyFont="1" applyFill="1" applyBorder="1" applyAlignment="1">
      <alignment horizontal="left"/>
    </xf>
    <xf numFmtId="0" fontId="0" fillId="30" borderId="11" xfId="0" applyFill="1" applyBorder="1"/>
    <xf numFmtId="0" fontId="0" fillId="30" borderId="11" xfId="0" applyFill="1" applyBorder="1" applyAlignment="1">
      <alignment horizontal="center"/>
    </xf>
    <xf numFmtId="0" fontId="0" fillId="30" borderId="11" xfId="0" applyFill="1" applyBorder="1" applyAlignment="1">
      <alignment horizontal="center" vertical="center"/>
    </xf>
    <xf numFmtId="9" fontId="0" fillId="30" borderId="11" xfId="2" applyFont="1" applyFill="1" applyBorder="1" applyAlignment="1">
      <alignment horizontal="center"/>
    </xf>
    <xf numFmtId="165" fontId="0" fillId="30" borderId="11" xfId="0" applyNumberFormat="1" applyFill="1" applyBorder="1"/>
    <xf numFmtId="165" fontId="0" fillId="30" borderId="12" xfId="0" applyNumberFormat="1" applyFill="1" applyBorder="1"/>
    <xf numFmtId="9" fontId="4" fillId="12" borderId="11" xfId="2" applyFont="1" applyFill="1" applyBorder="1" applyAlignment="1">
      <alignment horizontal="center"/>
    </xf>
    <xf numFmtId="9" fontId="4" fillId="11" borderId="11" xfId="2" applyFont="1" applyFill="1" applyBorder="1" applyAlignment="1">
      <alignment horizontal="center"/>
    </xf>
    <xf numFmtId="49" fontId="7" fillId="31" borderId="10" xfId="1" applyNumberFormat="1" applyFont="1" applyFill="1" applyBorder="1" applyAlignment="1">
      <alignment horizontal="left"/>
    </xf>
    <xf numFmtId="0" fontId="0" fillId="31" borderId="11" xfId="0" applyFill="1" applyBorder="1"/>
    <xf numFmtId="0" fontId="0" fillId="31" borderId="11" xfId="0" applyFill="1" applyBorder="1" applyAlignment="1">
      <alignment horizontal="center"/>
    </xf>
    <xf numFmtId="0" fontId="0" fillId="31" borderId="11" xfId="0" applyFill="1" applyBorder="1" applyAlignment="1">
      <alignment horizontal="center" vertical="center"/>
    </xf>
    <xf numFmtId="9" fontId="0" fillId="31" borderId="11" xfId="2" applyFont="1" applyFill="1" applyBorder="1" applyAlignment="1">
      <alignment horizontal="center"/>
    </xf>
    <xf numFmtId="9" fontId="4" fillId="31" borderId="11" xfId="2" applyFont="1" applyFill="1" applyBorder="1" applyAlignment="1">
      <alignment horizontal="center"/>
    </xf>
    <xf numFmtId="165" fontId="0" fillId="31" borderId="11" xfId="0" applyNumberFormat="1" applyFill="1" applyBorder="1"/>
    <xf numFmtId="165" fontId="0" fillId="31" borderId="12" xfId="0" applyNumberFormat="1" applyFill="1" applyBorder="1"/>
    <xf numFmtId="49" fontId="7" fillId="32" borderId="10" xfId="1" applyNumberFormat="1" applyFont="1" applyFill="1" applyBorder="1" applyAlignment="1">
      <alignment horizontal="left"/>
    </xf>
    <xf numFmtId="0" fontId="0" fillId="32" borderId="11" xfId="0" applyFill="1" applyBorder="1"/>
    <xf numFmtId="0" fontId="0" fillId="32" borderId="11" xfId="0" applyFill="1" applyBorder="1" applyAlignment="1">
      <alignment horizontal="center"/>
    </xf>
    <xf numFmtId="0" fontId="0" fillId="32" borderId="11" xfId="0" applyFill="1" applyBorder="1" applyAlignment="1">
      <alignment horizontal="center" vertical="center"/>
    </xf>
    <xf numFmtId="9" fontId="0" fillId="32" borderId="11" xfId="2" applyFont="1" applyFill="1" applyBorder="1" applyAlignment="1">
      <alignment horizontal="center"/>
    </xf>
    <xf numFmtId="165" fontId="0" fillId="32" borderId="11" xfId="0" applyNumberFormat="1" applyFill="1" applyBorder="1"/>
    <xf numFmtId="165" fontId="0" fillId="32" borderId="12" xfId="0" applyNumberFormat="1" applyFill="1" applyBorder="1"/>
    <xf numFmtId="9" fontId="4" fillId="32" borderId="11" xfId="2" applyFont="1" applyFill="1" applyBorder="1" applyAlignment="1">
      <alignment horizontal="center"/>
    </xf>
    <xf numFmtId="9" fontId="4" fillId="5" borderId="11" xfId="2" applyFont="1" applyFill="1" applyBorder="1" applyAlignment="1">
      <alignment horizontal="center"/>
    </xf>
    <xf numFmtId="49" fontId="7" fillId="33" borderId="10" xfId="1" applyNumberFormat="1" applyFont="1" applyFill="1" applyBorder="1" applyAlignment="1">
      <alignment horizontal="left"/>
    </xf>
    <xf numFmtId="0" fontId="0" fillId="33" borderId="11" xfId="0" applyFill="1" applyBorder="1"/>
    <xf numFmtId="0" fontId="0" fillId="33" borderId="11" xfId="0" applyFill="1" applyBorder="1" applyAlignment="1">
      <alignment horizontal="center"/>
    </xf>
    <xf numFmtId="0" fontId="0" fillId="33" borderId="11" xfId="0" applyFill="1" applyBorder="1" applyAlignment="1">
      <alignment horizontal="center" vertical="center"/>
    </xf>
    <xf numFmtId="9" fontId="0" fillId="33" borderId="11" xfId="2" applyFont="1" applyFill="1" applyBorder="1" applyAlignment="1">
      <alignment horizontal="center"/>
    </xf>
    <xf numFmtId="165" fontId="0" fillId="33" borderId="11" xfId="0" applyNumberFormat="1" applyFill="1" applyBorder="1"/>
    <xf numFmtId="165" fontId="0" fillId="33" borderId="12" xfId="0" applyNumberFormat="1" applyFill="1" applyBorder="1"/>
    <xf numFmtId="0" fontId="0" fillId="16" borderId="11" xfId="0" applyFill="1" applyBorder="1" applyAlignment="1">
      <alignment wrapText="1"/>
    </xf>
    <xf numFmtId="49" fontId="7" fillId="34" borderId="10" xfId="1" applyNumberFormat="1" applyFont="1" applyFill="1" applyBorder="1" applyAlignment="1">
      <alignment horizontal="left"/>
    </xf>
    <xf numFmtId="0" fontId="0" fillId="34" borderId="11" xfId="0" applyFill="1" applyBorder="1"/>
    <xf numFmtId="0" fontId="0" fillId="34" borderId="11" xfId="0" applyFill="1" applyBorder="1" applyAlignment="1">
      <alignment horizontal="center"/>
    </xf>
    <xf numFmtId="0" fontId="0" fillId="34" borderId="11" xfId="0" applyFill="1" applyBorder="1" applyAlignment="1">
      <alignment horizontal="center" vertical="center"/>
    </xf>
    <xf numFmtId="9" fontId="0" fillId="34" borderId="11" xfId="2" applyFont="1" applyFill="1" applyBorder="1" applyAlignment="1">
      <alignment horizontal="center"/>
    </xf>
    <xf numFmtId="9" fontId="4" fillId="34" borderId="11" xfId="2" applyFont="1" applyFill="1" applyBorder="1" applyAlignment="1">
      <alignment horizontal="center"/>
    </xf>
    <xf numFmtId="165" fontId="0" fillId="34" borderId="11" xfId="0" applyNumberFormat="1" applyFill="1" applyBorder="1"/>
    <xf numFmtId="165" fontId="0" fillId="34" borderId="12" xfId="0" applyNumberFormat="1" applyFill="1" applyBorder="1"/>
    <xf numFmtId="49" fontId="7" fillId="35" borderId="10" xfId="1" applyNumberFormat="1" applyFont="1" applyFill="1" applyBorder="1" applyAlignment="1">
      <alignment horizontal="left"/>
    </xf>
    <xf numFmtId="0" fontId="0" fillId="35" borderId="11" xfId="0" applyFill="1" applyBorder="1"/>
    <xf numFmtId="0" fontId="0" fillId="35" borderId="11" xfId="0" applyFill="1" applyBorder="1" applyAlignment="1">
      <alignment horizontal="center"/>
    </xf>
    <xf numFmtId="0" fontId="0" fillId="35" borderId="11" xfId="0" applyFill="1" applyBorder="1" applyAlignment="1">
      <alignment horizontal="center" vertical="center"/>
    </xf>
    <xf numFmtId="9" fontId="0" fillId="35" borderId="11" xfId="2" applyFont="1" applyFill="1" applyBorder="1" applyAlignment="1">
      <alignment horizontal="center"/>
    </xf>
    <xf numFmtId="9" fontId="4" fillId="35" borderId="11" xfId="2" applyFont="1" applyFill="1" applyBorder="1" applyAlignment="1">
      <alignment horizontal="center"/>
    </xf>
    <xf numFmtId="165" fontId="0" fillId="35" borderId="11" xfId="0" applyNumberFormat="1" applyFill="1" applyBorder="1"/>
    <xf numFmtId="165" fontId="0" fillId="35" borderId="12" xfId="0" applyNumberFormat="1" applyFill="1" applyBorder="1"/>
    <xf numFmtId="0" fontId="14" fillId="33" borderId="1" xfId="0" applyFont="1" applyFill="1" applyBorder="1" applyAlignment="1">
      <alignment horizontal="center" vertical="center" wrapText="1"/>
    </xf>
    <xf numFmtId="165" fontId="9" fillId="34" borderId="1" xfId="0" applyNumberFormat="1" applyFont="1" applyFill="1" applyBorder="1" applyAlignment="1">
      <alignment horizontal="center"/>
    </xf>
    <xf numFmtId="49" fontId="7" fillId="36" borderId="10" xfId="1" applyNumberFormat="1" applyFont="1" applyFill="1" applyBorder="1" applyAlignment="1">
      <alignment horizontal="left"/>
    </xf>
    <xf numFmtId="0" fontId="0" fillId="36" borderId="11" xfId="0" applyFill="1" applyBorder="1"/>
    <xf numFmtId="0" fontId="0" fillId="36" borderId="11" xfId="0" applyFill="1" applyBorder="1" applyAlignment="1">
      <alignment horizontal="center"/>
    </xf>
    <xf numFmtId="0" fontId="0" fillId="36" borderId="11" xfId="0" applyFill="1" applyBorder="1" applyAlignment="1">
      <alignment horizontal="center" vertical="center"/>
    </xf>
    <xf numFmtId="9" fontId="0" fillId="36" borderId="11" xfId="2" applyFont="1" applyFill="1" applyBorder="1" applyAlignment="1">
      <alignment horizontal="center"/>
    </xf>
    <xf numFmtId="9" fontId="4" fillId="36" borderId="11" xfId="2" applyFont="1" applyFill="1" applyBorder="1" applyAlignment="1">
      <alignment horizontal="center"/>
    </xf>
    <xf numFmtId="165" fontId="0" fillId="36" borderId="11" xfId="0" applyNumberFormat="1" applyFill="1" applyBorder="1"/>
    <xf numFmtId="165" fontId="0" fillId="36" borderId="12" xfId="0" applyNumberFormat="1" applyFill="1" applyBorder="1"/>
    <xf numFmtId="49" fontId="7" fillId="37" borderId="10" xfId="1" applyNumberFormat="1" applyFont="1" applyFill="1" applyBorder="1" applyAlignment="1">
      <alignment horizontal="left"/>
    </xf>
    <xf numFmtId="165" fontId="0" fillId="37" borderId="12" xfId="0" applyNumberFormat="1" applyFill="1" applyBorder="1"/>
    <xf numFmtId="165" fontId="0" fillId="37" borderId="11" xfId="0" applyNumberFormat="1" applyFill="1" applyBorder="1"/>
    <xf numFmtId="165" fontId="9" fillId="37" borderId="1" xfId="0" applyNumberFormat="1" applyFont="1" applyFill="1" applyBorder="1" applyAlignment="1">
      <alignment horizontal="center"/>
    </xf>
    <xf numFmtId="0" fontId="0" fillId="37" borderId="11" xfId="0" applyFill="1" applyBorder="1"/>
    <xf numFmtId="0" fontId="0" fillId="37" borderId="11" xfId="0" applyFill="1" applyBorder="1" applyAlignment="1">
      <alignment horizontal="center"/>
    </xf>
    <xf numFmtId="0" fontId="0" fillId="37" borderId="11" xfId="0" applyFill="1" applyBorder="1" applyAlignment="1">
      <alignment horizontal="center" vertical="center"/>
    </xf>
    <xf numFmtId="9" fontId="0" fillId="37" borderId="11" xfId="2" applyFont="1" applyFill="1" applyBorder="1" applyAlignment="1">
      <alignment horizontal="center"/>
    </xf>
    <xf numFmtId="9" fontId="4" fillId="37" borderId="11" xfId="2" applyFont="1" applyFill="1" applyBorder="1" applyAlignment="1">
      <alignment horizontal="center"/>
    </xf>
    <xf numFmtId="49" fontId="7" fillId="38" borderId="10" xfId="1" applyNumberFormat="1" applyFont="1" applyFill="1" applyBorder="1" applyAlignment="1">
      <alignment horizontal="left"/>
    </xf>
    <xf numFmtId="0" fontId="0" fillId="38" borderId="11" xfId="0" applyFill="1" applyBorder="1"/>
    <xf numFmtId="0" fontId="0" fillId="38" borderId="11" xfId="0" applyFill="1" applyBorder="1" applyAlignment="1">
      <alignment horizontal="center"/>
    </xf>
    <xf numFmtId="0" fontId="0" fillId="38" borderId="11" xfId="0" applyFill="1" applyBorder="1" applyAlignment="1">
      <alignment horizontal="center" vertical="center"/>
    </xf>
    <xf numFmtId="9" fontId="0" fillId="38" borderId="11" xfId="2" applyFont="1" applyFill="1" applyBorder="1" applyAlignment="1">
      <alignment horizontal="center"/>
    </xf>
    <xf numFmtId="9" fontId="4" fillId="38" borderId="11" xfId="2" applyFont="1" applyFill="1" applyBorder="1" applyAlignment="1">
      <alignment horizontal="center"/>
    </xf>
    <xf numFmtId="165" fontId="0" fillId="38" borderId="11" xfId="0" applyNumberFormat="1" applyFill="1" applyBorder="1"/>
    <xf numFmtId="165" fontId="0" fillId="38" borderId="12" xfId="0" applyNumberFormat="1" applyFill="1" applyBorder="1"/>
    <xf numFmtId="49" fontId="7" fillId="39" borderId="10" xfId="1" applyNumberFormat="1" applyFont="1" applyFill="1" applyBorder="1" applyAlignment="1">
      <alignment horizontal="left"/>
    </xf>
    <xf numFmtId="0" fontId="0" fillId="39" borderId="11" xfId="0" applyFill="1" applyBorder="1"/>
    <xf numFmtId="0" fontId="0" fillId="39" borderId="11" xfId="0" applyFill="1" applyBorder="1" applyAlignment="1">
      <alignment horizontal="center"/>
    </xf>
    <xf numFmtId="0" fontId="0" fillId="39" borderId="11" xfId="0" applyFill="1" applyBorder="1" applyAlignment="1">
      <alignment horizontal="center" vertical="center"/>
    </xf>
    <xf numFmtId="9" fontId="0" fillId="39" borderId="11" xfId="2" applyFont="1" applyFill="1" applyBorder="1" applyAlignment="1">
      <alignment horizontal="center"/>
    </xf>
    <xf numFmtId="9" fontId="4" fillId="39" borderId="11" xfId="2" applyFont="1" applyFill="1" applyBorder="1" applyAlignment="1">
      <alignment horizontal="center"/>
    </xf>
    <xf numFmtId="165" fontId="0" fillId="39" borderId="12" xfId="0" applyNumberFormat="1" applyFill="1" applyBorder="1"/>
    <xf numFmtId="165" fontId="0" fillId="39" borderId="11" xfId="0" applyNumberFormat="1" applyFill="1" applyBorder="1"/>
    <xf numFmtId="49" fontId="17" fillId="40" borderId="10" xfId="1" applyNumberFormat="1" applyFont="1" applyFill="1" applyBorder="1" applyAlignment="1">
      <alignment horizontal="left"/>
    </xf>
    <xf numFmtId="0" fontId="16" fillId="40" borderId="11" xfId="0" applyFont="1" applyFill="1" applyBorder="1"/>
    <xf numFmtId="0" fontId="16" fillId="40" borderId="11" xfId="0" applyFont="1" applyFill="1" applyBorder="1" applyAlignment="1">
      <alignment horizontal="center"/>
    </xf>
    <xf numFmtId="0" fontId="16" fillId="40" borderId="11" xfId="0" applyFont="1" applyFill="1" applyBorder="1" applyAlignment="1">
      <alignment horizontal="center" vertical="center"/>
    </xf>
    <xf numFmtId="9" fontId="16" fillId="40" borderId="11" xfId="2" applyFont="1" applyFill="1" applyBorder="1" applyAlignment="1">
      <alignment horizontal="center"/>
    </xf>
    <xf numFmtId="165" fontId="18" fillId="40" borderId="11" xfId="0" applyNumberFormat="1" applyFont="1" applyFill="1" applyBorder="1"/>
    <xf numFmtId="165" fontId="18" fillId="40" borderId="12" xfId="0" applyNumberFormat="1" applyFont="1" applyFill="1" applyBorder="1"/>
    <xf numFmtId="9" fontId="13" fillId="40" borderId="11" xfId="2" applyFont="1" applyFill="1" applyBorder="1" applyAlignment="1">
      <alignment horizontal="center"/>
    </xf>
    <xf numFmtId="49" fontId="7" fillId="41" borderId="10" xfId="1" applyNumberFormat="1" applyFont="1" applyFill="1" applyBorder="1" applyAlignment="1">
      <alignment horizontal="left"/>
    </xf>
    <xf numFmtId="0" fontId="0" fillId="41" borderId="11" xfId="0" applyFill="1" applyBorder="1"/>
    <xf numFmtId="0" fontId="0" fillId="41" borderId="11" xfId="0" applyFill="1" applyBorder="1" applyAlignment="1">
      <alignment horizontal="center"/>
    </xf>
    <xf numFmtId="0" fontId="0" fillId="41" borderId="11" xfId="0" applyFill="1" applyBorder="1" applyAlignment="1">
      <alignment horizontal="center" vertical="center"/>
    </xf>
    <xf numFmtId="9" fontId="0" fillId="41" borderId="11" xfId="2" applyFont="1" applyFill="1" applyBorder="1" applyAlignment="1">
      <alignment horizontal="center"/>
    </xf>
    <xf numFmtId="9" fontId="4" fillId="41" borderId="11" xfId="2" applyFont="1" applyFill="1" applyBorder="1" applyAlignment="1">
      <alignment horizontal="center"/>
    </xf>
    <xf numFmtId="165" fontId="0" fillId="41" borderId="11" xfId="0" applyNumberFormat="1" applyFill="1" applyBorder="1"/>
    <xf numFmtId="165" fontId="0" fillId="41" borderId="12" xfId="0" applyNumberFormat="1" applyFill="1" applyBorder="1"/>
    <xf numFmtId="49" fontId="7" fillId="42" borderId="10" xfId="1" applyNumberFormat="1" applyFont="1" applyFill="1" applyBorder="1" applyAlignment="1">
      <alignment horizontal="left"/>
    </xf>
    <xf numFmtId="0" fontId="0" fillId="42" borderId="11" xfId="0" applyFill="1" applyBorder="1"/>
    <xf numFmtId="0" fontId="0" fillId="42" borderId="11" xfId="0" applyFill="1" applyBorder="1" applyAlignment="1">
      <alignment horizontal="center"/>
    </xf>
    <xf numFmtId="0" fontId="0" fillId="42" borderId="11" xfId="0" applyFill="1" applyBorder="1" applyAlignment="1">
      <alignment horizontal="center" vertical="center"/>
    </xf>
    <xf numFmtId="9" fontId="0" fillId="42" borderId="11" xfId="2" applyFont="1" applyFill="1" applyBorder="1" applyAlignment="1">
      <alignment horizontal="center"/>
    </xf>
    <xf numFmtId="9" fontId="4" fillId="42" borderId="11" xfId="2" applyFont="1" applyFill="1" applyBorder="1" applyAlignment="1">
      <alignment horizontal="center"/>
    </xf>
    <xf numFmtId="165" fontId="0" fillId="42" borderId="11" xfId="0" applyNumberFormat="1" applyFill="1" applyBorder="1"/>
    <xf numFmtId="165" fontId="0" fillId="42" borderId="12" xfId="0" applyNumberFormat="1" applyFill="1" applyBorder="1"/>
    <xf numFmtId="49" fontId="7" fillId="43" borderId="10" xfId="1" applyNumberFormat="1" applyFont="1" applyFill="1" applyBorder="1" applyAlignment="1">
      <alignment horizontal="left"/>
    </xf>
    <xf numFmtId="0" fontId="0" fillId="43" borderId="11" xfId="0" applyFill="1" applyBorder="1"/>
    <xf numFmtId="0" fontId="0" fillId="43" borderId="11" xfId="0" applyFill="1" applyBorder="1" applyAlignment="1">
      <alignment horizontal="center"/>
    </xf>
    <xf numFmtId="0" fontId="0" fillId="43" borderId="11" xfId="0" applyFill="1" applyBorder="1" applyAlignment="1">
      <alignment horizontal="center" vertical="center"/>
    </xf>
    <xf numFmtId="9" fontId="0" fillId="43" borderId="11" xfId="2" applyFont="1" applyFill="1" applyBorder="1" applyAlignment="1">
      <alignment horizontal="center"/>
    </xf>
    <xf numFmtId="9" fontId="4" fillId="43" borderId="11" xfId="2" applyFont="1" applyFill="1" applyBorder="1" applyAlignment="1">
      <alignment horizontal="center"/>
    </xf>
    <xf numFmtId="165" fontId="0" fillId="43" borderId="12" xfId="0" applyNumberFormat="1" applyFill="1" applyBorder="1"/>
    <xf numFmtId="165" fontId="0" fillId="43" borderId="11" xfId="0" applyNumberFormat="1" applyFill="1" applyBorder="1"/>
    <xf numFmtId="0" fontId="2" fillId="37" borderId="11" xfId="0" applyFont="1" applyFill="1" applyBorder="1"/>
    <xf numFmtId="49" fontId="7" fillId="44" borderId="10" xfId="1" applyNumberFormat="1" applyFont="1" applyFill="1" applyBorder="1" applyAlignment="1">
      <alignment horizontal="left"/>
    </xf>
    <xf numFmtId="0" fontId="0" fillId="44" borderId="11" xfId="0" applyFill="1" applyBorder="1" applyAlignment="1">
      <alignment horizontal="center"/>
    </xf>
    <xf numFmtId="9" fontId="0" fillId="44" borderId="11" xfId="2" applyFont="1" applyFill="1" applyBorder="1" applyAlignment="1">
      <alignment horizontal="center"/>
    </xf>
    <xf numFmtId="9" fontId="4" fillId="44" borderId="11" xfId="2" applyFont="1" applyFill="1" applyBorder="1" applyAlignment="1">
      <alignment horizontal="center"/>
    </xf>
    <xf numFmtId="165" fontId="0" fillId="44" borderId="11" xfId="0" applyNumberFormat="1" applyFill="1" applyBorder="1"/>
    <xf numFmtId="165" fontId="0" fillId="44" borderId="12" xfId="0" applyNumberFormat="1" applyFill="1" applyBorder="1"/>
    <xf numFmtId="165" fontId="9" fillId="44" borderId="1" xfId="0" applyNumberFormat="1" applyFont="1" applyFill="1" applyBorder="1" applyAlignment="1">
      <alignment horizontal="center"/>
    </xf>
    <xf numFmtId="2" fontId="0" fillId="44" borderId="11" xfId="0" applyNumberFormat="1" applyFill="1" applyBorder="1" applyAlignment="1">
      <alignment horizontal="center" vertical="center"/>
    </xf>
    <xf numFmtId="49" fontId="7" fillId="45" borderId="10" xfId="1" applyNumberFormat="1" applyFont="1" applyFill="1" applyBorder="1" applyAlignment="1">
      <alignment horizontal="left"/>
    </xf>
    <xf numFmtId="0" fontId="0" fillId="45" borderId="11" xfId="0" applyFill="1" applyBorder="1" applyAlignment="1">
      <alignment horizontal="center"/>
    </xf>
    <xf numFmtId="0" fontId="0" fillId="45" borderId="11" xfId="0" applyFill="1" applyBorder="1" applyAlignment="1">
      <alignment horizontal="center" vertical="center"/>
    </xf>
    <xf numFmtId="9" fontId="0" fillId="45" borderId="11" xfId="2" applyFont="1" applyFill="1" applyBorder="1" applyAlignment="1">
      <alignment horizontal="center"/>
    </xf>
    <xf numFmtId="9" fontId="4" fillId="45" borderId="11" xfId="2" applyFont="1" applyFill="1" applyBorder="1" applyAlignment="1">
      <alignment horizontal="center"/>
    </xf>
    <xf numFmtId="165" fontId="0" fillId="45" borderId="11" xfId="0" applyNumberFormat="1" applyFill="1" applyBorder="1"/>
    <xf numFmtId="165" fontId="0" fillId="45" borderId="12" xfId="0" applyNumberFormat="1" applyFill="1" applyBorder="1"/>
    <xf numFmtId="0" fontId="0" fillId="45" borderId="11" xfId="0" applyFill="1" applyBorder="1" applyAlignment="1">
      <alignment wrapText="1"/>
    </xf>
    <xf numFmtId="0" fontId="0" fillId="28" borderId="11" xfId="0" applyFill="1" applyBorder="1" applyAlignment="1">
      <alignment wrapText="1"/>
    </xf>
    <xf numFmtId="9" fontId="4" fillId="28" borderId="11" xfId="2" applyFont="1" applyFill="1" applyBorder="1" applyAlignment="1">
      <alignment horizontal="center"/>
    </xf>
    <xf numFmtId="0" fontId="0" fillId="17" borderId="11" xfId="0" applyFill="1" applyBorder="1" applyAlignment="1">
      <alignment wrapText="1"/>
    </xf>
    <xf numFmtId="0" fontId="0" fillId="32" borderId="11" xfId="0" applyFill="1" applyBorder="1" applyAlignment="1">
      <alignment wrapText="1"/>
    </xf>
    <xf numFmtId="0" fontId="0" fillId="15" borderId="11" xfId="0" applyFill="1" applyBorder="1" applyAlignment="1">
      <alignment wrapText="1"/>
    </xf>
    <xf numFmtId="0" fontId="12" fillId="29" borderId="11" xfId="0" applyFont="1" applyFill="1" applyBorder="1" applyAlignment="1">
      <alignment wrapText="1"/>
    </xf>
    <xf numFmtId="49" fontId="7" fillId="46" borderId="10" xfId="1" applyNumberFormat="1" applyFont="1" applyFill="1" applyBorder="1" applyAlignment="1">
      <alignment horizontal="left"/>
    </xf>
    <xf numFmtId="0" fontId="0" fillId="46" borderId="11" xfId="0" applyFill="1" applyBorder="1"/>
    <xf numFmtId="0" fontId="0" fillId="46" borderId="11" xfId="0" applyFill="1" applyBorder="1" applyAlignment="1">
      <alignment horizontal="center"/>
    </xf>
    <xf numFmtId="0" fontId="0" fillId="46" borderId="11" xfId="0" applyFill="1" applyBorder="1" applyAlignment="1">
      <alignment horizontal="center" vertical="center"/>
    </xf>
    <xf numFmtId="9" fontId="0" fillId="46" borderId="11" xfId="2" applyFont="1" applyFill="1" applyBorder="1" applyAlignment="1">
      <alignment horizontal="center"/>
    </xf>
    <xf numFmtId="9" fontId="4" fillId="46" borderId="11" xfId="2" applyFont="1" applyFill="1" applyBorder="1" applyAlignment="1">
      <alignment horizontal="center"/>
    </xf>
    <xf numFmtId="165" fontId="0" fillId="46" borderId="11" xfId="0" applyNumberFormat="1" applyFill="1" applyBorder="1"/>
    <xf numFmtId="165" fontId="0" fillId="46" borderId="12" xfId="0" applyNumberFormat="1" applyFill="1" applyBorder="1"/>
    <xf numFmtId="165" fontId="9" fillId="35" borderId="1" xfId="0" applyNumberFormat="1" applyFont="1" applyFill="1" applyBorder="1" applyAlignment="1">
      <alignment horizontal="center"/>
    </xf>
    <xf numFmtId="165" fontId="19" fillId="34" borderId="1" xfId="0" applyNumberFormat="1" applyFont="1" applyFill="1" applyBorder="1" applyAlignment="1">
      <alignment horizontal="center"/>
    </xf>
    <xf numFmtId="165" fontId="19" fillId="38" borderId="1" xfId="0" applyNumberFormat="1" applyFont="1" applyFill="1" applyBorder="1" applyAlignment="1">
      <alignment horizontal="center"/>
    </xf>
    <xf numFmtId="0" fontId="1" fillId="37" borderId="11" xfId="0" applyFont="1" applyFill="1" applyBorder="1"/>
    <xf numFmtId="49" fontId="7" fillId="47" borderId="10" xfId="1" applyNumberFormat="1" applyFont="1" applyFill="1" applyBorder="1" applyAlignment="1">
      <alignment horizontal="left"/>
    </xf>
    <xf numFmtId="0" fontId="0" fillId="47" borderId="11" xfId="0" applyFill="1" applyBorder="1"/>
    <xf numFmtId="0" fontId="0" fillId="47" borderId="11" xfId="0" applyFill="1" applyBorder="1" applyAlignment="1">
      <alignment horizontal="center"/>
    </xf>
    <xf numFmtId="0" fontId="0" fillId="47" borderId="11" xfId="0" applyFill="1" applyBorder="1" applyAlignment="1">
      <alignment horizontal="center" vertical="center"/>
    </xf>
    <xf numFmtId="9" fontId="0" fillId="47" borderId="11" xfId="2" applyFont="1" applyFill="1" applyBorder="1" applyAlignment="1">
      <alignment horizontal="center"/>
    </xf>
    <xf numFmtId="9" fontId="4" fillId="47" borderId="11" xfId="2" applyFont="1" applyFill="1" applyBorder="1" applyAlignment="1">
      <alignment horizontal="center"/>
    </xf>
    <xf numFmtId="165" fontId="0" fillId="47" borderId="11" xfId="0" applyNumberFormat="1" applyFill="1" applyBorder="1"/>
    <xf numFmtId="165" fontId="0" fillId="47" borderId="12" xfId="0" applyNumberFormat="1" applyFill="1" applyBorder="1"/>
    <xf numFmtId="0" fontId="1" fillId="44" borderId="11" xfId="0" applyFont="1" applyFill="1" applyBorder="1"/>
    <xf numFmtId="0" fontId="1" fillId="37" borderId="11" xfId="0" applyFont="1" applyFill="1" applyBorder="1" applyAlignment="1">
      <alignment wrapText="1"/>
    </xf>
    <xf numFmtId="49" fontId="7" fillId="48" borderId="10" xfId="1" applyNumberFormat="1" applyFont="1" applyFill="1" applyBorder="1" applyAlignment="1">
      <alignment horizontal="left"/>
    </xf>
    <xf numFmtId="0" fontId="1" fillId="48" borderId="11" xfId="0" applyFont="1" applyFill="1" applyBorder="1"/>
    <xf numFmtId="0" fontId="0" fillId="48" borderId="11" xfId="0" applyFill="1" applyBorder="1" applyAlignment="1">
      <alignment horizontal="center"/>
    </xf>
    <xf numFmtId="2" fontId="0" fillId="48" borderId="11" xfId="0" applyNumberFormat="1" applyFill="1" applyBorder="1" applyAlignment="1">
      <alignment horizontal="center" vertical="center"/>
    </xf>
    <xf numFmtId="9" fontId="0" fillId="48" borderId="11" xfId="2" applyFont="1" applyFill="1" applyBorder="1" applyAlignment="1">
      <alignment horizontal="center"/>
    </xf>
    <xf numFmtId="9" fontId="4" fillId="48" borderId="11" xfId="2" applyFont="1" applyFill="1" applyBorder="1" applyAlignment="1">
      <alignment horizontal="center"/>
    </xf>
    <xf numFmtId="165" fontId="0" fillId="48" borderId="11" xfId="0" applyNumberFormat="1" applyFill="1" applyBorder="1"/>
    <xf numFmtId="165" fontId="0" fillId="48" borderId="12" xfId="0" applyNumberFormat="1" applyFill="1" applyBorder="1"/>
    <xf numFmtId="165" fontId="9" fillId="48" borderId="1" xfId="0" applyNumberFormat="1" applyFont="1" applyFill="1" applyBorder="1" applyAlignment="1">
      <alignment horizontal="center"/>
    </xf>
    <xf numFmtId="49" fontId="7" fillId="49" borderId="10" xfId="1" applyNumberFormat="1" applyFont="1" applyFill="1" applyBorder="1" applyAlignment="1">
      <alignment horizontal="left"/>
    </xf>
    <xf numFmtId="0" fontId="0" fillId="49" borderId="11" xfId="0" applyFill="1" applyBorder="1"/>
    <xf numFmtId="0" fontId="0" fillId="49" borderId="11" xfId="0" applyFill="1" applyBorder="1" applyAlignment="1">
      <alignment horizontal="center"/>
    </xf>
    <xf numFmtId="0" fontId="0" fillId="49" borderId="11" xfId="0" applyFill="1" applyBorder="1" applyAlignment="1">
      <alignment horizontal="center" vertical="center"/>
    </xf>
    <xf numFmtId="9" fontId="0" fillId="49" borderId="11" xfId="2" applyFont="1" applyFill="1" applyBorder="1" applyAlignment="1">
      <alignment horizontal="center"/>
    </xf>
    <xf numFmtId="9" fontId="4" fillId="49" borderId="11" xfId="2" applyFont="1" applyFill="1" applyBorder="1" applyAlignment="1">
      <alignment horizontal="center"/>
    </xf>
    <xf numFmtId="165" fontId="0" fillId="49" borderId="12" xfId="0" applyNumberFormat="1" applyFill="1" applyBorder="1"/>
    <xf numFmtId="165" fontId="0" fillId="49" borderId="11" xfId="0" applyNumberFormat="1" applyFill="1" applyBorder="1"/>
    <xf numFmtId="49" fontId="7" fillId="50" borderId="10" xfId="1" applyNumberFormat="1" applyFont="1" applyFill="1" applyBorder="1" applyAlignment="1">
      <alignment horizontal="left"/>
    </xf>
    <xf numFmtId="0" fontId="0" fillId="50" borderId="11" xfId="0" applyFill="1" applyBorder="1"/>
    <xf numFmtId="0" fontId="0" fillId="50" borderId="11" xfId="0" applyFill="1" applyBorder="1" applyAlignment="1">
      <alignment horizontal="center"/>
    </xf>
    <xf numFmtId="0" fontId="0" fillId="50" borderId="11" xfId="0" applyFill="1" applyBorder="1" applyAlignment="1">
      <alignment horizontal="center" vertical="center"/>
    </xf>
    <xf numFmtId="9" fontId="0" fillId="50" borderId="11" xfId="2" applyFont="1" applyFill="1" applyBorder="1" applyAlignment="1">
      <alignment horizontal="center"/>
    </xf>
    <xf numFmtId="9" fontId="4" fillId="50" borderId="11" xfId="2" applyFont="1" applyFill="1" applyBorder="1" applyAlignment="1">
      <alignment horizontal="center"/>
    </xf>
    <xf numFmtId="165" fontId="0" fillId="50" borderId="11" xfId="0" applyNumberFormat="1" applyFill="1" applyBorder="1"/>
    <xf numFmtId="165" fontId="0" fillId="50" borderId="12" xfId="0" applyNumberFormat="1" applyFill="1" applyBorder="1"/>
    <xf numFmtId="49" fontId="7" fillId="51" borderId="10" xfId="1" applyNumberFormat="1" applyFont="1" applyFill="1" applyBorder="1" applyAlignment="1">
      <alignment horizontal="left"/>
    </xf>
    <xf numFmtId="0" fontId="0" fillId="51" borderId="11" xfId="0" applyFill="1" applyBorder="1"/>
    <xf numFmtId="0" fontId="0" fillId="51" borderId="11" xfId="0" applyFill="1" applyBorder="1" applyAlignment="1">
      <alignment horizontal="center"/>
    </xf>
    <xf numFmtId="0" fontId="0" fillId="51" borderId="11" xfId="0" applyFill="1" applyBorder="1" applyAlignment="1">
      <alignment horizontal="center" vertical="center"/>
    </xf>
    <xf numFmtId="9" fontId="0" fillId="51" borderId="11" xfId="2" applyFont="1" applyFill="1" applyBorder="1" applyAlignment="1">
      <alignment horizontal="center"/>
    </xf>
    <xf numFmtId="9" fontId="4" fillId="51" borderId="11" xfId="2" applyFont="1" applyFill="1" applyBorder="1" applyAlignment="1">
      <alignment horizontal="center"/>
    </xf>
    <xf numFmtId="165" fontId="0" fillId="51" borderId="11" xfId="0" applyNumberFormat="1" applyFill="1" applyBorder="1"/>
    <xf numFmtId="165" fontId="0" fillId="51" borderId="12" xfId="0" applyNumberFormat="1" applyFill="1" applyBorder="1"/>
    <xf numFmtId="165" fontId="20" fillId="47" borderId="1" xfId="0" applyNumberFormat="1" applyFont="1" applyFill="1" applyBorder="1" applyAlignment="1">
      <alignment horizontal="center"/>
    </xf>
    <xf numFmtId="49" fontId="7" fillId="52" borderId="10" xfId="1" applyNumberFormat="1" applyFont="1" applyFill="1" applyBorder="1" applyAlignment="1">
      <alignment horizontal="left"/>
    </xf>
    <xf numFmtId="0" fontId="0" fillId="52" borderId="11" xfId="0" applyFill="1" applyBorder="1"/>
    <xf numFmtId="0" fontId="0" fillId="52" borderId="11" xfId="0" applyFill="1" applyBorder="1" applyAlignment="1">
      <alignment horizontal="center"/>
    </xf>
    <xf numFmtId="9" fontId="0" fillId="52" borderId="11" xfId="2" applyFont="1" applyFill="1" applyBorder="1" applyAlignment="1">
      <alignment horizontal="center"/>
    </xf>
    <xf numFmtId="9" fontId="4" fillId="52" borderId="11" xfId="2" applyFont="1" applyFill="1" applyBorder="1" applyAlignment="1">
      <alignment horizontal="center"/>
    </xf>
    <xf numFmtId="165" fontId="0" fillId="52" borderId="11" xfId="0" applyNumberFormat="1" applyFill="1" applyBorder="1"/>
    <xf numFmtId="165" fontId="0" fillId="52" borderId="12" xfId="0" applyNumberFormat="1" applyFill="1" applyBorder="1"/>
    <xf numFmtId="49" fontId="7" fillId="53" borderId="10" xfId="1" applyNumberFormat="1" applyFont="1" applyFill="1" applyBorder="1" applyAlignment="1">
      <alignment horizontal="left"/>
    </xf>
    <xf numFmtId="0" fontId="0" fillId="53" borderId="11" xfId="0" applyFill="1" applyBorder="1"/>
    <xf numFmtId="0" fontId="0" fillId="53" borderId="11" xfId="0" applyFill="1" applyBorder="1" applyAlignment="1">
      <alignment horizontal="center"/>
    </xf>
    <xf numFmtId="0" fontId="0" fillId="53" borderId="11" xfId="0" applyFill="1" applyBorder="1" applyAlignment="1">
      <alignment horizontal="center" vertical="center"/>
    </xf>
    <xf numFmtId="9" fontId="0" fillId="53" borderId="11" xfId="2" applyFont="1" applyFill="1" applyBorder="1" applyAlignment="1">
      <alignment horizontal="center"/>
    </xf>
    <xf numFmtId="9" fontId="4" fillId="53" borderId="11" xfId="2" applyFont="1" applyFill="1" applyBorder="1" applyAlignment="1">
      <alignment horizontal="center"/>
    </xf>
    <xf numFmtId="165" fontId="0" fillId="53" borderId="11" xfId="0" applyNumberFormat="1" applyFill="1" applyBorder="1"/>
    <xf numFmtId="165" fontId="0" fillId="53" borderId="12" xfId="0" applyNumberFormat="1" applyFill="1" applyBorder="1"/>
    <xf numFmtId="49" fontId="7" fillId="54" borderId="10" xfId="1" applyNumberFormat="1" applyFont="1" applyFill="1" applyBorder="1" applyAlignment="1">
      <alignment horizontal="left"/>
    </xf>
    <xf numFmtId="0" fontId="0" fillId="54" borderId="11" xfId="0" applyFill="1" applyBorder="1"/>
    <xf numFmtId="0" fontId="0" fillId="54" borderId="11" xfId="0" applyFill="1" applyBorder="1" applyAlignment="1">
      <alignment horizontal="center"/>
    </xf>
    <xf numFmtId="0" fontId="0" fillId="54" borderId="11" xfId="0" applyFill="1" applyBorder="1" applyAlignment="1">
      <alignment horizontal="center" vertical="center"/>
    </xf>
    <xf numFmtId="9" fontId="0" fillId="54" borderId="11" xfId="2" applyFont="1" applyFill="1" applyBorder="1" applyAlignment="1">
      <alignment horizontal="center"/>
    </xf>
    <xf numFmtId="9" fontId="4" fillId="54" borderId="11" xfId="2" applyFont="1" applyFill="1" applyBorder="1" applyAlignment="1">
      <alignment horizontal="center"/>
    </xf>
    <xf numFmtId="165" fontId="0" fillId="54" borderId="11" xfId="0" applyNumberFormat="1" applyFill="1" applyBorder="1"/>
    <xf numFmtId="165" fontId="0" fillId="54" borderId="12" xfId="0" applyNumberFormat="1" applyFill="1" applyBorder="1"/>
    <xf numFmtId="49" fontId="7" fillId="55" borderId="10" xfId="1" applyNumberFormat="1" applyFont="1" applyFill="1" applyBorder="1" applyAlignment="1">
      <alignment horizontal="left"/>
    </xf>
    <xf numFmtId="0" fontId="0" fillId="55" borderId="11" xfId="0" applyFill="1" applyBorder="1"/>
    <xf numFmtId="0" fontId="0" fillId="55" borderId="11" xfId="0" applyFill="1" applyBorder="1" applyAlignment="1">
      <alignment horizontal="center"/>
    </xf>
    <xf numFmtId="0" fontId="0" fillId="55" borderId="11" xfId="0" applyFill="1" applyBorder="1" applyAlignment="1">
      <alignment horizontal="center" vertical="center"/>
    </xf>
    <xf numFmtId="9" fontId="0" fillId="55" borderId="11" xfId="2" applyFont="1" applyFill="1" applyBorder="1" applyAlignment="1">
      <alignment horizontal="center"/>
    </xf>
    <xf numFmtId="9" fontId="4" fillId="55" borderId="11" xfId="2" applyFont="1" applyFill="1" applyBorder="1" applyAlignment="1">
      <alignment horizontal="center"/>
    </xf>
    <xf numFmtId="165" fontId="0" fillId="55" borderId="11" xfId="0" applyNumberFormat="1" applyFill="1" applyBorder="1"/>
    <xf numFmtId="165" fontId="0" fillId="55" borderId="12" xfId="0" applyNumberFormat="1" applyFill="1" applyBorder="1"/>
    <xf numFmtId="0" fontId="0" fillId="56" borderId="11" xfId="0" applyFill="1" applyBorder="1"/>
    <xf numFmtId="49" fontId="7" fillId="56" borderId="10" xfId="1" applyNumberFormat="1" applyFont="1" applyFill="1" applyBorder="1" applyAlignment="1">
      <alignment horizontal="left"/>
    </xf>
    <xf numFmtId="0" fontId="0" fillId="56" borderId="11" xfId="0" applyFill="1" applyBorder="1" applyAlignment="1">
      <alignment horizontal="center" vertical="center"/>
    </xf>
    <xf numFmtId="9" fontId="0" fillId="56" borderId="11" xfId="2" applyFont="1" applyFill="1" applyBorder="1" applyAlignment="1">
      <alignment horizontal="center"/>
    </xf>
    <xf numFmtId="9" fontId="4" fillId="56" borderId="11" xfId="2" applyFont="1" applyFill="1" applyBorder="1" applyAlignment="1">
      <alignment horizontal="center"/>
    </xf>
    <xf numFmtId="165" fontId="0" fillId="56" borderId="11" xfId="0" applyNumberFormat="1" applyFill="1" applyBorder="1"/>
    <xf numFmtId="165" fontId="0" fillId="56" borderId="12" xfId="0" applyNumberFormat="1" applyFill="1" applyBorder="1"/>
    <xf numFmtId="0" fontId="21" fillId="56" borderId="11" xfId="0" applyFont="1" applyFill="1" applyBorder="1" applyAlignment="1">
      <alignment horizontal="center"/>
    </xf>
    <xf numFmtId="9" fontId="22" fillId="23" borderId="11" xfId="2" applyFont="1" applyFill="1" applyBorder="1" applyAlignment="1">
      <alignment horizontal="center"/>
    </xf>
    <xf numFmtId="9" fontId="22" fillId="26" borderId="11" xfId="2" applyFont="1" applyFill="1" applyBorder="1" applyAlignment="1">
      <alignment horizontal="center"/>
    </xf>
    <xf numFmtId="9" fontId="23" fillId="30" borderId="11" xfId="2" applyFont="1" applyFill="1" applyBorder="1" applyAlignment="1">
      <alignment horizontal="center"/>
    </xf>
    <xf numFmtId="9" fontId="23" fillId="33" borderId="11" xfId="2" applyFont="1" applyFill="1" applyBorder="1" applyAlignment="1">
      <alignment horizontal="center"/>
    </xf>
    <xf numFmtId="4" fontId="0" fillId="52" borderId="11" xfId="0" applyNumberFormat="1" applyFill="1" applyBorder="1" applyAlignment="1">
      <alignment horizontal="center" vertical="center"/>
    </xf>
    <xf numFmtId="49" fontId="7" fillId="57" borderId="10" xfId="1" applyNumberFormat="1" applyFont="1" applyFill="1" applyBorder="1" applyAlignment="1">
      <alignment horizontal="left"/>
    </xf>
    <xf numFmtId="0" fontId="0" fillId="57" borderId="11" xfId="0" applyFill="1" applyBorder="1"/>
    <xf numFmtId="0" fontId="0" fillId="57" borderId="11" xfId="0" applyFill="1" applyBorder="1" applyAlignment="1">
      <alignment horizontal="center"/>
    </xf>
    <xf numFmtId="4" fontId="0" fillId="57" borderId="11" xfId="0" applyNumberFormat="1" applyFill="1" applyBorder="1" applyAlignment="1">
      <alignment horizontal="center" vertical="center"/>
    </xf>
    <xf numFmtId="9" fontId="0" fillId="57" borderId="11" xfId="2" applyFont="1" applyFill="1" applyBorder="1" applyAlignment="1">
      <alignment horizontal="center"/>
    </xf>
    <xf numFmtId="9" fontId="24" fillId="57" borderId="11" xfId="2" applyFont="1" applyFill="1" applyBorder="1" applyAlignment="1">
      <alignment horizontal="center"/>
    </xf>
    <xf numFmtId="0" fontId="1" fillId="56" borderId="11" xfId="0" applyFont="1" applyFill="1" applyBorder="1"/>
    <xf numFmtId="49" fontId="7" fillId="58" borderId="10" xfId="1" applyNumberFormat="1" applyFont="1" applyFill="1" applyBorder="1" applyAlignment="1">
      <alignment horizontal="left"/>
    </xf>
    <xf numFmtId="0" fontId="0" fillId="58" borderId="11" xfId="0" applyFill="1" applyBorder="1"/>
    <xf numFmtId="0" fontId="0" fillId="58" borderId="11" xfId="0" applyFill="1" applyBorder="1" applyAlignment="1">
      <alignment horizontal="center"/>
    </xf>
    <xf numFmtId="0" fontId="0" fillId="58" borderId="11" xfId="0" applyFill="1" applyBorder="1" applyAlignment="1">
      <alignment horizontal="center" vertical="center"/>
    </xf>
    <xf numFmtId="9" fontId="0" fillId="58" borderId="11" xfId="2" applyFont="1" applyFill="1" applyBorder="1" applyAlignment="1">
      <alignment horizontal="center"/>
    </xf>
    <xf numFmtId="9" fontId="4" fillId="58" borderId="11" xfId="2" applyFont="1" applyFill="1" applyBorder="1" applyAlignment="1">
      <alignment horizontal="center"/>
    </xf>
    <xf numFmtId="165" fontId="0" fillId="58" borderId="11" xfId="0" applyNumberFormat="1" applyFill="1" applyBorder="1"/>
    <xf numFmtId="165" fontId="0" fillId="58" borderId="12" xfId="0" applyNumberFormat="1" applyFill="1" applyBorder="1"/>
    <xf numFmtId="49" fontId="7" fillId="59" borderId="10" xfId="1" applyNumberFormat="1" applyFont="1" applyFill="1" applyBorder="1" applyAlignment="1">
      <alignment horizontal="left"/>
    </xf>
    <xf numFmtId="0" fontId="0" fillId="59" borderId="11" xfId="0" applyFill="1" applyBorder="1"/>
    <xf numFmtId="0" fontId="0" fillId="59" borderId="11" xfId="0" applyFill="1" applyBorder="1" applyAlignment="1">
      <alignment horizontal="center"/>
    </xf>
    <xf numFmtId="4" fontId="0" fillId="59" borderId="11" xfId="0" applyNumberFormat="1" applyFill="1" applyBorder="1" applyAlignment="1">
      <alignment horizontal="center" vertical="center"/>
    </xf>
    <xf numFmtId="9" fontId="0" fillId="59" borderId="11" xfId="2" applyFont="1" applyFill="1" applyBorder="1" applyAlignment="1">
      <alignment horizontal="center"/>
    </xf>
    <xf numFmtId="9" fontId="4" fillId="59" borderId="11" xfId="2" applyFont="1" applyFill="1" applyBorder="1" applyAlignment="1">
      <alignment horizontal="center"/>
    </xf>
    <xf numFmtId="165" fontId="0" fillId="59" borderId="11" xfId="0" applyNumberFormat="1" applyFill="1" applyBorder="1"/>
    <xf numFmtId="165" fontId="0" fillId="59" borderId="12" xfId="0" applyNumberFormat="1" applyFill="1" applyBorder="1"/>
    <xf numFmtId="49" fontId="7" fillId="60" borderId="10" xfId="1" applyNumberFormat="1" applyFont="1" applyFill="1" applyBorder="1" applyAlignment="1">
      <alignment horizontal="left"/>
    </xf>
    <xf numFmtId="0" fontId="0" fillId="60" borderId="11" xfId="0" applyFill="1" applyBorder="1"/>
    <xf numFmtId="0" fontId="0" fillId="60" borderId="11" xfId="0" applyFill="1" applyBorder="1" applyAlignment="1">
      <alignment horizontal="center"/>
    </xf>
    <xf numFmtId="4" fontId="0" fillId="60" borderId="11" xfId="0" applyNumberFormat="1" applyFill="1" applyBorder="1" applyAlignment="1">
      <alignment horizontal="center" vertical="center"/>
    </xf>
    <xf numFmtId="9" fontId="0" fillId="60" borderId="11" xfId="2" applyFont="1" applyFill="1" applyBorder="1" applyAlignment="1">
      <alignment horizontal="center"/>
    </xf>
    <xf numFmtId="9" fontId="4" fillId="60" borderId="11" xfId="2" applyFont="1" applyFill="1" applyBorder="1" applyAlignment="1">
      <alignment horizontal="center"/>
    </xf>
    <xf numFmtId="165" fontId="0" fillId="60" borderId="11" xfId="0" applyNumberFormat="1" applyFill="1" applyBorder="1"/>
    <xf numFmtId="165" fontId="0" fillId="60" borderId="12" xfId="0" applyNumberFormat="1" applyFill="1" applyBorder="1"/>
    <xf numFmtId="0" fontId="0" fillId="0" borderId="0" xfId="0" applyAlignment="1">
      <alignment horizontal="center" vertical="center"/>
    </xf>
    <xf numFmtId="165" fontId="8" fillId="4" borderId="11" xfId="0" applyNumberFormat="1" applyFont="1" applyFill="1" applyBorder="1" applyAlignment="1">
      <alignment horizontal="right" vertical="center"/>
    </xf>
    <xf numFmtId="165" fontId="0" fillId="3" borderId="10" xfId="0" applyNumberFormat="1" applyFill="1" applyBorder="1" applyAlignment="1">
      <alignment horizontal="right" vertical="center"/>
    </xf>
    <xf numFmtId="0" fontId="1" fillId="54" borderId="11" xfId="0" applyFont="1" applyFill="1" applyBorder="1"/>
    <xf numFmtId="49" fontId="7" fillId="61" borderId="10" xfId="1" applyNumberFormat="1" applyFont="1" applyFill="1" applyBorder="1" applyAlignment="1">
      <alignment horizontal="left"/>
    </xf>
    <xf numFmtId="0" fontId="0" fillId="61" borderId="11" xfId="0" applyFill="1" applyBorder="1"/>
    <xf numFmtId="0" fontId="0" fillId="61" borderId="11" xfId="0" applyFill="1" applyBorder="1" applyAlignment="1">
      <alignment horizontal="center"/>
    </xf>
    <xf numFmtId="0" fontId="0" fillId="61" borderId="11" xfId="0" applyFill="1" applyBorder="1" applyAlignment="1">
      <alignment horizontal="center" vertical="center"/>
    </xf>
    <xf numFmtId="9" fontId="0" fillId="61" borderId="11" xfId="2" applyFont="1" applyFill="1" applyBorder="1" applyAlignment="1">
      <alignment horizontal="center"/>
    </xf>
    <xf numFmtId="9" fontId="4" fillId="61" borderId="11" xfId="2" applyFont="1" applyFill="1" applyBorder="1" applyAlignment="1">
      <alignment horizontal="center"/>
    </xf>
    <xf numFmtId="165" fontId="0" fillId="61" borderId="11" xfId="0" applyNumberFormat="1" applyFill="1" applyBorder="1"/>
    <xf numFmtId="165" fontId="0" fillId="61" borderId="12" xfId="0" applyNumberFormat="1" applyFill="1" applyBorder="1"/>
    <xf numFmtId="49" fontId="7" fillId="62" borderId="10" xfId="1" applyNumberFormat="1" applyFont="1" applyFill="1" applyBorder="1" applyAlignment="1">
      <alignment horizontal="left"/>
    </xf>
    <xf numFmtId="0" fontId="0" fillId="62" borderId="11" xfId="0" applyFill="1" applyBorder="1"/>
    <xf numFmtId="0" fontId="0" fillId="62" borderId="11" xfId="0" applyFill="1" applyBorder="1" applyAlignment="1">
      <alignment horizontal="center"/>
    </xf>
    <xf numFmtId="0" fontId="0" fillId="62" borderId="11" xfId="0" applyFill="1" applyBorder="1" applyAlignment="1">
      <alignment horizontal="center" vertical="center"/>
    </xf>
    <xf numFmtId="9" fontId="0" fillId="62" borderId="11" xfId="2" applyFont="1" applyFill="1" applyBorder="1" applyAlignment="1">
      <alignment horizontal="center"/>
    </xf>
    <xf numFmtId="9" fontId="4" fillId="62" borderId="11" xfId="2" applyFont="1" applyFill="1" applyBorder="1" applyAlignment="1">
      <alignment horizontal="center"/>
    </xf>
    <xf numFmtId="165" fontId="0" fillId="62" borderId="11" xfId="0" applyNumberFormat="1" applyFill="1" applyBorder="1"/>
    <xf numFmtId="165" fontId="0" fillId="62" borderId="12" xfId="0" applyNumberFormat="1" applyFill="1" applyBorder="1"/>
    <xf numFmtId="4" fontId="0" fillId="39" borderId="11" xfId="0" applyNumberFormat="1" applyFill="1" applyBorder="1" applyAlignment="1">
      <alignment horizontal="center" vertical="center"/>
    </xf>
    <xf numFmtId="0" fontId="0" fillId="39" borderId="11" xfId="0" applyFill="1" applyBorder="1" applyAlignment="1">
      <alignment horizontal="left" vertical="center" wrapText="1"/>
    </xf>
    <xf numFmtId="9" fontId="0" fillId="39" borderId="11" xfId="2" applyFont="1" applyFill="1" applyBorder="1" applyAlignment="1">
      <alignment horizontal="center" vertical="center"/>
    </xf>
    <xf numFmtId="9" fontId="4" fillId="39" borderId="11" xfId="2" applyFont="1" applyFill="1" applyBorder="1" applyAlignment="1">
      <alignment horizontal="center" vertical="center"/>
    </xf>
    <xf numFmtId="165" fontId="0" fillId="39" borderId="11" xfId="0" applyNumberFormat="1" applyFill="1" applyBorder="1" applyAlignment="1">
      <alignment horizontal="right" vertical="center"/>
    </xf>
    <xf numFmtId="165" fontId="0" fillId="39" borderId="12" xfId="0" applyNumberFormat="1" applyFill="1" applyBorder="1" applyAlignment="1">
      <alignment horizontal="right" vertical="center"/>
    </xf>
    <xf numFmtId="0" fontId="0" fillId="58" borderId="11" xfId="0" applyFill="1" applyBorder="1" applyAlignment="1">
      <alignment wrapText="1"/>
    </xf>
    <xf numFmtId="0" fontId="0" fillId="39" borderId="11" xfId="0" applyFill="1" applyBorder="1" applyAlignment="1">
      <alignment wrapText="1"/>
    </xf>
    <xf numFmtId="0" fontId="0" fillId="63" borderId="11" xfId="0" applyFill="1" applyBorder="1"/>
    <xf numFmtId="49" fontId="7" fillId="63" borderId="10" xfId="1" applyNumberFormat="1" applyFont="1" applyFill="1" applyBorder="1" applyAlignment="1">
      <alignment horizontal="left"/>
    </xf>
    <xf numFmtId="0" fontId="0" fillId="63" borderId="11" xfId="0" applyFill="1" applyBorder="1" applyAlignment="1">
      <alignment horizontal="center"/>
    </xf>
    <xf numFmtId="0" fontId="0" fillId="63" borderId="11" xfId="0" applyFill="1" applyBorder="1" applyAlignment="1">
      <alignment horizontal="center" vertical="center"/>
    </xf>
    <xf numFmtId="9" fontId="0" fillId="63" borderId="11" xfId="2" applyFont="1" applyFill="1" applyBorder="1" applyAlignment="1">
      <alignment horizontal="center"/>
    </xf>
    <xf numFmtId="165" fontId="0" fillId="63" borderId="11" xfId="0" applyNumberFormat="1" applyFill="1" applyBorder="1"/>
    <xf numFmtId="165" fontId="0" fillId="63" borderId="12" xfId="0" applyNumberFormat="1" applyFill="1" applyBorder="1"/>
    <xf numFmtId="0" fontId="0" fillId="9" borderId="11" xfId="0" applyFill="1" applyBorder="1" applyAlignment="1">
      <alignment wrapText="1"/>
    </xf>
    <xf numFmtId="0" fontId="0" fillId="10" borderId="11" xfId="0" applyFill="1" applyBorder="1" applyAlignment="1">
      <alignment wrapText="1"/>
    </xf>
    <xf numFmtId="165" fontId="0" fillId="3" borderId="11" xfId="0" applyNumberFormat="1" applyFill="1" applyBorder="1" applyAlignment="1">
      <alignment horizontal="right" vertical="center"/>
    </xf>
    <xf numFmtId="165" fontId="0" fillId="3" borderId="10" xfId="0" applyNumberFormat="1" applyFill="1" applyBorder="1" applyAlignment="1">
      <alignment vertical="center"/>
    </xf>
    <xf numFmtId="9" fontId="26" fillId="63" borderId="11" xfId="2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6" fillId="24" borderId="1" xfId="0" applyFont="1" applyFill="1" applyBorder="1" applyAlignment="1">
      <alignment horizontal="center"/>
    </xf>
    <xf numFmtId="2" fontId="0" fillId="17" borderId="1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860000"/>
      <color rgb="FFFFC1C1"/>
      <color rgb="FF90ADD0"/>
      <color rgb="FFD0E2D9"/>
      <color rgb="FFFAE88E"/>
      <color rgb="FFA1C29E"/>
      <color rgb="FFADD3C8"/>
      <color rgb="FFCABA9E"/>
      <color rgb="FFD2E7FE"/>
      <color rgb="FF9BB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685801</xdr:colOff>
      <xdr:row>0</xdr:row>
      <xdr:rowOff>118534</xdr:rowOff>
    </xdr:from>
    <xdr:to>
      <xdr:col>2</xdr:col>
      <xdr:colOff>905934</xdr:colOff>
      <xdr:row>3</xdr:row>
      <xdr:rowOff>109100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6C4E91-9F42-4DD1-793B-D63ABC9D6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1" y="118534"/>
          <a:ext cx="2590800" cy="5493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118533</xdr:rowOff>
    </xdr:from>
    <xdr:to>
      <xdr:col>2</xdr:col>
      <xdr:colOff>135467</xdr:colOff>
      <xdr:row>3</xdr:row>
      <xdr:rowOff>109099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09A88-5971-4B70-BE06-DFA2889E7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00" y="118533"/>
          <a:ext cx="2590800" cy="5493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880532</xdr:colOff>
      <xdr:row>0</xdr:row>
      <xdr:rowOff>118534</xdr:rowOff>
    </xdr:from>
    <xdr:to>
      <xdr:col>2</xdr:col>
      <xdr:colOff>372532</xdr:colOff>
      <xdr:row>3</xdr:row>
      <xdr:rowOff>109100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89C739-DDA0-4B4B-A158-6BA815A02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199" y="118534"/>
          <a:ext cx="2590800" cy="5493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423334</xdr:colOff>
      <xdr:row>0</xdr:row>
      <xdr:rowOff>118534</xdr:rowOff>
    </xdr:from>
    <xdr:to>
      <xdr:col>2</xdr:col>
      <xdr:colOff>152400</xdr:colOff>
      <xdr:row>3</xdr:row>
      <xdr:rowOff>109100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17907C-BF1E-4747-A185-018D68469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867" y="118534"/>
          <a:ext cx="2590800" cy="5493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0</xdr:row>
      <xdr:rowOff>106680</xdr:rowOff>
    </xdr:from>
    <xdr:to>
      <xdr:col>2</xdr:col>
      <xdr:colOff>640080</xdr:colOff>
      <xdr:row>3</xdr:row>
      <xdr:rowOff>107406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ACB48A-1775-4375-AC96-5ED9FEB54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106680"/>
          <a:ext cx="2590800" cy="5493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516467</xdr:colOff>
      <xdr:row>0</xdr:row>
      <xdr:rowOff>110066</xdr:rowOff>
    </xdr:from>
    <xdr:to>
      <xdr:col>2</xdr:col>
      <xdr:colOff>931334</xdr:colOff>
      <xdr:row>3</xdr:row>
      <xdr:rowOff>100632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0A233-ED7A-4A78-B4BF-E1CECEDC4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067" y="110066"/>
          <a:ext cx="2590800" cy="5493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973666</xdr:colOff>
      <xdr:row>0</xdr:row>
      <xdr:rowOff>118533</xdr:rowOff>
    </xdr:from>
    <xdr:to>
      <xdr:col>2</xdr:col>
      <xdr:colOff>821266</xdr:colOff>
      <xdr:row>3</xdr:row>
      <xdr:rowOff>109099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2722CB-8350-4D68-B7A8-3CD9C3670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266" y="118533"/>
          <a:ext cx="2590800" cy="5493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693420</xdr:colOff>
      <xdr:row>0</xdr:row>
      <xdr:rowOff>114300</xdr:rowOff>
    </xdr:from>
    <xdr:to>
      <xdr:col>2</xdr:col>
      <xdr:colOff>1074420</xdr:colOff>
      <xdr:row>3</xdr:row>
      <xdr:rowOff>115026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95121-0E3F-4505-B8CE-B40623820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020" y="114300"/>
          <a:ext cx="2590800" cy="549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0" tint="-0.249977111117893"/>
  </sheetPr>
  <dimension ref="A1:O29"/>
  <sheetViews>
    <sheetView zoomScale="90" zoomScaleNormal="90" workbookViewId="0">
      <selection activeCell="M44" sqref="M44"/>
    </sheetView>
  </sheetViews>
  <sheetFormatPr defaultRowHeight="14.4" x14ac:dyDescent="0.3"/>
  <cols>
    <col min="2" max="2" width="34.5546875" customWidth="1"/>
    <col min="3" max="3" width="17.6640625" customWidth="1"/>
    <col min="4" max="4" width="17.109375" customWidth="1"/>
    <col min="5" max="5" width="9.44140625" customWidth="1"/>
    <col min="6" max="6" width="9.6640625" customWidth="1"/>
    <col min="7" max="7" width="9.5546875" customWidth="1"/>
    <col min="8" max="8" width="17" customWidth="1"/>
    <col min="9" max="9" width="9.44140625" customWidth="1"/>
    <col min="10" max="10" width="13" customWidth="1"/>
    <col min="13" max="13" width="16.109375" customWidth="1"/>
  </cols>
  <sheetData>
    <row r="1" spans="1:15" x14ac:dyDescent="0.3">
      <c r="A1" s="518"/>
      <c r="B1" s="519"/>
      <c r="C1" s="519"/>
      <c r="D1" s="520"/>
    </row>
    <row r="2" spans="1:15" x14ac:dyDescent="0.3">
      <c r="A2" s="521"/>
      <c r="B2" s="522"/>
      <c r="C2" s="522"/>
      <c r="D2" s="523"/>
    </row>
    <row r="3" spans="1:15" x14ac:dyDescent="0.3">
      <c r="A3" s="521"/>
      <c r="B3" s="522"/>
      <c r="C3" s="522"/>
      <c r="D3" s="523"/>
    </row>
    <row r="4" spans="1:15" x14ac:dyDescent="0.3">
      <c r="A4" s="524"/>
      <c r="B4" s="525"/>
      <c r="C4" s="525"/>
      <c r="D4" s="526"/>
    </row>
    <row r="6" spans="1:15" x14ac:dyDescent="0.3">
      <c r="A6" s="527" t="s">
        <v>1657</v>
      </c>
      <c r="B6" s="528"/>
      <c r="C6" s="528"/>
      <c r="D6" s="529"/>
    </row>
    <row r="7" spans="1:15" x14ac:dyDescent="0.3">
      <c r="A7" s="530"/>
      <c r="B7" s="531"/>
      <c r="C7" s="531"/>
      <c r="D7" s="532"/>
    </row>
    <row r="8" spans="1:15" x14ac:dyDescent="0.3">
      <c r="A8" s="533" t="s">
        <v>2218</v>
      </c>
      <c r="B8" s="534"/>
      <c r="C8" s="534"/>
      <c r="D8" s="535"/>
    </row>
    <row r="9" spans="1:15" x14ac:dyDescent="0.3">
      <c r="A9" s="536"/>
      <c r="B9" s="537"/>
      <c r="C9" s="537"/>
      <c r="D9" s="538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ht="14.4" customHeight="1" x14ac:dyDescent="0.3">
      <c r="A12" s="11" t="s">
        <v>16</v>
      </c>
      <c r="B12" s="12" t="s">
        <v>1658</v>
      </c>
      <c r="C12" s="13" t="s">
        <v>1655</v>
      </c>
      <c r="D12" s="14">
        <v>3.6</v>
      </c>
      <c r="E12" s="15">
        <v>0.15</v>
      </c>
      <c r="F12" s="183">
        <v>0.3</v>
      </c>
      <c r="G12" s="2">
        <f t="shared" ref="G12:G15" si="0">D12*E12</f>
        <v>0.54</v>
      </c>
      <c r="H12" s="65">
        <f t="shared" ref="H12:H15" si="1">G12+D12</f>
        <v>4.1400000000000006</v>
      </c>
      <c r="I12" s="9">
        <f t="shared" ref="I12:I15" si="2">H12*0.21</f>
        <v>0.86940000000000006</v>
      </c>
      <c r="J12" s="66">
        <f t="shared" ref="J12:J15" si="3">H12+I12</f>
        <v>5.0094000000000003</v>
      </c>
      <c r="L12" s="153">
        <f>D12*F12</f>
        <v>1.08</v>
      </c>
      <c r="M12" s="65">
        <f>D12+L12</f>
        <v>4.68</v>
      </c>
      <c r="N12" s="9">
        <f>M12*0.21</f>
        <v>0.9827999999999999</v>
      </c>
      <c r="O12" s="66">
        <f>M12+N12</f>
        <v>5.6627999999999998</v>
      </c>
    </row>
    <row r="13" spans="1:15" x14ac:dyDescent="0.3">
      <c r="A13" s="11" t="s">
        <v>22</v>
      </c>
      <c r="B13" s="12" t="s">
        <v>1659</v>
      </c>
      <c r="C13" s="13" t="s">
        <v>1655</v>
      </c>
      <c r="D13" s="14">
        <v>1.76</v>
      </c>
      <c r="E13" s="15">
        <v>0.15</v>
      </c>
      <c r="F13" s="183">
        <v>0.3</v>
      </c>
      <c r="G13" s="2">
        <f t="shared" si="0"/>
        <v>0.26400000000000001</v>
      </c>
      <c r="H13" s="65">
        <f t="shared" si="1"/>
        <v>2.024</v>
      </c>
      <c r="I13" s="9">
        <f t="shared" si="2"/>
        <v>0.42503999999999997</v>
      </c>
      <c r="J13" s="66">
        <f t="shared" si="3"/>
        <v>2.4490400000000001</v>
      </c>
      <c r="L13" s="153">
        <f t="shared" ref="L13:L29" si="4">D13*F13</f>
        <v>0.52800000000000002</v>
      </c>
      <c r="M13" s="65">
        <f t="shared" ref="M13:M29" si="5">D13+L13</f>
        <v>2.2880000000000003</v>
      </c>
      <c r="N13" s="9">
        <f t="shared" ref="N13:N29" si="6">M13*0.21</f>
        <v>0.48048000000000002</v>
      </c>
      <c r="O13" s="66">
        <f t="shared" ref="O13:O29" si="7">M13+N13</f>
        <v>2.7684800000000003</v>
      </c>
    </row>
    <row r="14" spans="1:15" x14ac:dyDescent="0.3">
      <c r="A14" s="11" t="s">
        <v>1656</v>
      </c>
      <c r="B14" s="12" t="s">
        <v>1660</v>
      </c>
      <c r="C14" s="13" t="s">
        <v>1655</v>
      </c>
      <c r="D14" s="14">
        <v>2.6</v>
      </c>
      <c r="E14" s="15">
        <v>0.15</v>
      </c>
      <c r="F14" s="183">
        <v>0.3</v>
      </c>
      <c r="G14" s="2">
        <f t="shared" si="0"/>
        <v>0.39</v>
      </c>
      <c r="H14" s="65">
        <f t="shared" si="1"/>
        <v>2.99</v>
      </c>
      <c r="I14" s="9">
        <f t="shared" si="2"/>
        <v>0.62790000000000001</v>
      </c>
      <c r="J14" s="66">
        <f t="shared" si="3"/>
        <v>3.6179000000000001</v>
      </c>
      <c r="L14" s="153">
        <f t="shared" si="4"/>
        <v>0.78</v>
      </c>
      <c r="M14" s="65">
        <f t="shared" si="5"/>
        <v>3.38</v>
      </c>
      <c r="N14" s="9">
        <f t="shared" si="6"/>
        <v>0.70979999999999999</v>
      </c>
      <c r="O14" s="66">
        <f t="shared" si="7"/>
        <v>4.0898000000000003</v>
      </c>
    </row>
    <row r="15" spans="1:15" x14ac:dyDescent="0.3">
      <c r="A15" s="11" t="s">
        <v>59</v>
      </c>
      <c r="B15" s="12" t="s">
        <v>1661</v>
      </c>
      <c r="C15" s="13" t="s">
        <v>1655</v>
      </c>
      <c r="D15" s="14">
        <v>4</v>
      </c>
      <c r="E15" s="15">
        <v>0.15</v>
      </c>
      <c r="F15" s="183">
        <v>0.3</v>
      </c>
      <c r="G15" s="2">
        <f t="shared" si="0"/>
        <v>0.6</v>
      </c>
      <c r="H15" s="65">
        <f t="shared" si="1"/>
        <v>4.5999999999999996</v>
      </c>
      <c r="I15" s="9">
        <f t="shared" si="2"/>
        <v>0.96599999999999986</v>
      </c>
      <c r="J15" s="66">
        <f t="shared" si="3"/>
        <v>5.5659999999999998</v>
      </c>
      <c r="L15" s="153">
        <f t="shared" ref="L15" si="8">D15*F15</f>
        <v>1.2</v>
      </c>
      <c r="M15" s="65">
        <f t="shared" ref="M15" si="9">D15+L15</f>
        <v>5.2</v>
      </c>
      <c r="N15" s="9">
        <f t="shared" ref="N15" si="10">M15*0.21</f>
        <v>1.0920000000000001</v>
      </c>
      <c r="O15" s="66">
        <f t="shared" ref="O15" si="11">M15+N15</f>
        <v>6.2919999999999998</v>
      </c>
    </row>
    <row r="16" spans="1:15" x14ac:dyDescent="0.3">
      <c r="A16" s="11" t="s">
        <v>161</v>
      </c>
      <c r="B16" s="12" t="s">
        <v>1662</v>
      </c>
      <c r="C16" s="13" t="s">
        <v>1655</v>
      </c>
      <c r="D16" s="14">
        <v>0.92</v>
      </c>
      <c r="E16" s="15">
        <v>0.15</v>
      </c>
      <c r="F16" s="183">
        <v>0.3</v>
      </c>
      <c r="G16" s="2">
        <f t="shared" ref="G16" si="12">D16*E16</f>
        <v>0.13800000000000001</v>
      </c>
      <c r="H16" s="65">
        <f t="shared" ref="H16" si="13">G16+D16</f>
        <v>1.0580000000000001</v>
      </c>
      <c r="I16" s="9">
        <f t="shared" ref="I16" si="14">H16*0.21</f>
        <v>0.22218000000000002</v>
      </c>
      <c r="J16" s="66">
        <f t="shared" ref="J16" si="15">H16+I16</f>
        <v>1.2801800000000001</v>
      </c>
      <c r="L16" s="153">
        <f t="shared" ref="L16" si="16">D16*F16</f>
        <v>0.27600000000000002</v>
      </c>
      <c r="M16" s="65">
        <f t="shared" ref="M16" si="17">D16+L16</f>
        <v>1.1960000000000002</v>
      </c>
      <c r="N16" s="9">
        <f t="shared" ref="N16" si="18">M16*0.21</f>
        <v>0.25116000000000005</v>
      </c>
      <c r="O16" s="66">
        <f t="shared" ref="O16" si="19">M16+N16</f>
        <v>1.4471600000000002</v>
      </c>
    </row>
    <row r="17" spans="1:15" x14ac:dyDescent="0.3">
      <c r="A17" s="11" t="s">
        <v>163</v>
      </c>
      <c r="B17" s="12" t="s">
        <v>1663</v>
      </c>
      <c r="C17" s="13" t="s">
        <v>1655</v>
      </c>
      <c r="D17" s="14">
        <v>3.2</v>
      </c>
      <c r="E17" s="15">
        <v>0.15</v>
      </c>
      <c r="F17" s="183">
        <v>0.3</v>
      </c>
      <c r="G17" s="2">
        <f t="shared" ref="G17" si="20">D17*E17</f>
        <v>0.48</v>
      </c>
      <c r="H17" s="65">
        <f t="shared" ref="H17" si="21">G17+D17</f>
        <v>3.68</v>
      </c>
      <c r="I17" s="9">
        <f t="shared" ref="I17" si="22">H17*0.21</f>
        <v>0.77280000000000004</v>
      </c>
      <c r="J17" s="66">
        <f t="shared" ref="J17" si="23">H17+I17</f>
        <v>4.4527999999999999</v>
      </c>
      <c r="L17" s="153">
        <f t="shared" ref="L17" si="24">D17*F17</f>
        <v>0.96</v>
      </c>
      <c r="M17" s="65">
        <f t="shared" ref="M17" si="25">D17+L17</f>
        <v>4.16</v>
      </c>
      <c r="N17" s="9">
        <f t="shared" ref="N17" si="26">M17*0.21</f>
        <v>0.87360000000000004</v>
      </c>
      <c r="O17" s="66">
        <f t="shared" ref="O17" si="27">M17+N17</f>
        <v>5.0335999999999999</v>
      </c>
    </row>
    <row r="18" spans="1:15" x14ac:dyDescent="0.3">
      <c r="A18" s="11" t="s">
        <v>164</v>
      </c>
      <c r="B18" s="12" t="s">
        <v>1664</v>
      </c>
      <c r="C18" s="13" t="s">
        <v>1655</v>
      </c>
      <c r="D18" s="14">
        <v>1.55</v>
      </c>
      <c r="E18" s="15">
        <v>0.15</v>
      </c>
      <c r="F18" s="183">
        <v>0.3</v>
      </c>
      <c r="G18" s="2">
        <f t="shared" ref="G18" si="28">D18*E18</f>
        <v>0.23249999999999998</v>
      </c>
      <c r="H18" s="65">
        <f t="shared" ref="H18" si="29">G18+D18</f>
        <v>1.7825</v>
      </c>
      <c r="I18" s="9">
        <f t="shared" ref="I18" si="30">H18*0.21</f>
        <v>0.37432499999999996</v>
      </c>
      <c r="J18" s="66">
        <f t="shared" ref="J18" si="31">H18+I18</f>
        <v>2.156825</v>
      </c>
      <c r="L18" s="153">
        <f t="shared" ref="L18" si="32">D18*F18</f>
        <v>0.46499999999999997</v>
      </c>
      <c r="M18" s="65">
        <f t="shared" ref="M18" si="33">D18+L18</f>
        <v>2.0150000000000001</v>
      </c>
      <c r="N18" s="9">
        <f t="shared" ref="N18" si="34">M18*0.21</f>
        <v>0.42315000000000003</v>
      </c>
      <c r="O18" s="66">
        <f t="shared" ref="O18" si="35">M18+N18</f>
        <v>2.4381500000000003</v>
      </c>
    </row>
    <row r="19" spans="1:15" x14ac:dyDescent="0.3">
      <c r="A19" s="11" t="s">
        <v>187</v>
      </c>
      <c r="B19" s="12" t="s">
        <v>1665</v>
      </c>
      <c r="C19" s="13" t="s">
        <v>1655</v>
      </c>
      <c r="D19" s="14">
        <v>2.8</v>
      </c>
      <c r="E19" s="15">
        <v>0.15</v>
      </c>
      <c r="F19" s="183">
        <v>0.3</v>
      </c>
      <c r="G19" s="2">
        <f t="shared" ref="G19" si="36">D19*E19</f>
        <v>0.42</v>
      </c>
      <c r="H19" s="65">
        <f t="shared" ref="H19" si="37">G19+D19</f>
        <v>3.2199999999999998</v>
      </c>
      <c r="I19" s="9">
        <f t="shared" ref="I19" si="38">H19*0.21</f>
        <v>0.67619999999999991</v>
      </c>
      <c r="J19" s="66">
        <f t="shared" ref="J19" si="39">H19+I19</f>
        <v>3.8961999999999994</v>
      </c>
      <c r="L19" s="153">
        <f t="shared" ref="L19" si="40">D19*F19</f>
        <v>0.84</v>
      </c>
      <c r="M19" s="65">
        <f t="shared" ref="M19" si="41">D19+L19</f>
        <v>3.6399999999999997</v>
      </c>
      <c r="N19" s="9">
        <f t="shared" ref="N19" si="42">M19*0.21</f>
        <v>0.76439999999999986</v>
      </c>
      <c r="O19" s="66">
        <f t="shared" ref="O19" si="43">M19+N19</f>
        <v>4.4043999999999999</v>
      </c>
    </row>
    <row r="20" spans="1:15" x14ac:dyDescent="0.3">
      <c r="A20" s="11" t="s">
        <v>234</v>
      </c>
      <c r="B20" s="12" t="s">
        <v>1666</v>
      </c>
      <c r="C20" s="13" t="s">
        <v>1655</v>
      </c>
      <c r="D20" s="14">
        <v>4.2</v>
      </c>
      <c r="E20" s="15">
        <v>0.15</v>
      </c>
      <c r="F20" s="183">
        <v>0.3</v>
      </c>
      <c r="G20" s="2">
        <f t="shared" ref="G20" si="44">D20*E20</f>
        <v>0.63</v>
      </c>
      <c r="H20" s="65">
        <f t="shared" ref="H20" si="45">G20+D20</f>
        <v>4.83</v>
      </c>
      <c r="I20" s="9">
        <f t="shared" ref="I20" si="46">H20*0.21</f>
        <v>1.0143</v>
      </c>
      <c r="J20" s="66">
        <f t="shared" ref="J20" si="47">H20+I20</f>
        <v>5.8443000000000005</v>
      </c>
      <c r="L20" s="153">
        <f t="shared" ref="L20" si="48">D20*F20</f>
        <v>1.26</v>
      </c>
      <c r="M20" s="65">
        <f t="shared" ref="M20" si="49">D20+L20</f>
        <v>5.46</v>
      </c>
      <c r="N20" s="9">
        <f t="shared" ref="N20" si="50">M20*0.21</f>
        <v>1.1465999999999998</v>
      </c>
      <c r="O20" s="66">
        <f t="shared" ref="O20" si="51">M20+N20</f>
        <v>6.6066000000000003</v>
      </c>
    </row>
    <row r="21" spans="1:15" x14ac:dyDescent="0.3">
      <c r="A21" s="11" t="s">
        <v>254</v>
      </c>
      <c r="B21" s="12" t="s">
        <v>1646</v>
      </c>
      <c r="C21" s="13" t="s">
        <v>1655</v>
      </c>
      <c r="D21" s="14">
        <v>1.1299999999999999</v>
      </c>
      <c r="E21" s="15">
        <v>0.15</v>
      </c>
      <c r="F21" s="183">
        <v>0.3</v>
      </c>
      <c r="G21" s="2">
        <f t="shared" ref="G21" si="52">D21*E21</f>
        <v>0.16949999999999998</v>
      </c>
      <c r="H21" s="65">
        <f t="shared" ref="H21" si="53">G21+D21</f>
        <v>1.2994999999999999</v>
      </c>
      <c r="I21" s="9">
        <f t="shared" ref="I21" si="54">H21*0.21</f>
        <v>0.27289499999999994</v>
      </c>
      <c r="J21" s="66">
        <f t="shared" ref="J21" si="55">H21+I21</f>
        <v>1.5723949999999998</v>
      </c>
      <c r="L21" s="153">
        <f t="shared" ref="L21" si="56">D21*F21</f>
        <v>0.33899999999999997</v>
      </c>
      <c r="M21" s="65">
        <f t="shared" ref="M21" si="57">D21+L21</f>
        <v>1.4689999999999999</v>
      </c>
      <c r="N21" s="9">
        <f t="shared" ref="N21" si="58">M21*0.21</f>
        <v>0.30848999999999999</v>
      </c>
      <c r="O21" s="66">
        <f t="shared" ref="O21" si="59">M21+N21</f>
        <v>1.7774899999999998</v>
      </c>
    </row>
    <row r="22" spans="1:15" x14ac:dyDescent="0.3">
      <c r="F22" s="1"/>
    </row>
    <row r="23" spans="1:15" x14ac:dyDescent="0.3">
      <c r="A23" s="101" t="s">
        <v>56</v>
      </c>
      <c r="B23" s="102" t="s">
        <v>1667</v>
      </c>
      <c r="C23" s="103" t="s">
        <v>1655</v>
      </c>
      <c r="D23" s="104">
        <v>3.4</v>
      </c>
      <c r="E23" s="105">
        <v>0.2</v>
      </c>
      <c r="F23" s="181">
        <v>0.15</v>
      </c>
      <c r="G23" s="2">
        <f t="shared" ref="G23:G29" si="60">D23*E23</f>
        <v>0.68</v>
      </c>
      <c r="H23" s="106">
        <f t="shared" ref="H23:H29" si="61">G23+D23</f>
        <v>4.08</v>
      </c>
      <c r="I23" s="9">
        <f t="shared" ref="I23:I29" si="62">H23*0.21</f>
        <v>0.85680000000000001</v>
      </c>
      <c r="J23" s="107">
        <f t="shared" ref="J23:J29" si="63">H23+I23</f>
        <v>4.9367999999999999</v>
      </c>
      <c r="L23" s="153">
        <f t="shared" si="4"/>
        <v>0.51</v>
      </c>
      <c r="M23" s="106">
        <f t="shared" si="5"/>
        <v>3.91</v>
      </c>
      <c r="N23" s="9">
        <f t="shared" si="6"/>
        <v>0.82110000000000005</v>
      </c>
      <c r="O23" s="107">
        <f t="shared" si="7"/>
        <v>4.7311000000000005</v>
      </c>
    </row>
    <row r="24" spans="1:15" x14ac:dyDescent="0.3">
      <c r="A24" s="101" t="s">
        <v>57</v>
      </c>
      <c r="B24" s="102" t="s">
        <v>1668</v>
      </c>
      <c r="C24" s="103" t="s">
        <v>1655</v>
      </c>
      <c r="D24" s="104">
        <v>0.5</v>
      </c>
      <c r="E24" s="105">
        <v>0.2</v>
      </c>
      <c r="F24" s="181">
        <v>0.15</v>
      </c>
      <c r="G24" s="2">
        <f t="shared" si="60"/>
        <v>0.1</v>
      </c>
      <c r="H24" s="106">
        <f t="shared" si="61"/>
        <v>0.6</v>
      </c>
      <c r="I24" s="9">
        <f t="shared" ref="I24" si="64">H24*0.21</f>
        <v>0.126</v>
      </c>
      <c r="J24" s="107">
        <f t="shared" ref="J24" si="65">H24+I24</f>
        <v>0.72599999999999998</v>
      </c>
      <c r="L24" s="153">
        <f t="shared" ref="L24" si="66">D24*F24</f>
        <v>7.4999999999999997E-2</v>
      </c>
      <c r="M24" s="106">
        <f t="shared" ref="M24" si="67">D24+L24</f>
        <v>0.57499999999999996</v>
      </c>
      <c r="N24" s="9">
        <f t="shared" ref="N24" si="68">M24*0.21</f>
        <v>0.12074999999999998</v>
      </c>
      <c r="O24" s="107">
        <f t="shared" ref="O24" si="69">M24+N24</f>
        <v>0.69574999999999998</v>
      </c>
    </row>
    <row r="25" spans="1:15" x14ac:dyDescent="0.3">
      <c r="A25" s="101" t="s">
        <v>58</v>
      </c>
      <c r="B25" s="102" t="s">
        <v>1669</v>
      </c>
      <c r="C25" s="103" t="s">
        <v>1655</v>
      </c>
      <c r="D25" s="104">
        <v>3</v>
      </c>
      <c r="E25" s="105">
        <v>0.2</v>
      </c>
      <c r="F25" s="181">
        <v>0.15</v>
      </c>
      <c r="G25" s="2">
        <f t="shared" si="60"/>
        <v>0.60000000000000009</v>
      </c>
      <c r="H25" s="106">
        <f t="shared" si="61"/>
        <v>3.6</v>
      </c>
      <c r="I25" s="9">
        <f t="shared" ref="I25" si="70">H25*0.21</f>
        <v>0.75600000000000001</v>
      </c>
      <c r="J25" s="107">
        <f t="shared" ref="J25" si="71">H25+I25</f>
        <v>4.3559999999999999</v>
      </c>
      <c r="L25" s="153">
        <f t="shared" ref="L25" si="72">D25*F25</f>
        <v>0.44999999999999996</v>
      </c>
      <c r="M25" s="106">
        <f t="shared" ref="M25" si="73">D25+L25</f>
        <v>3.45</v>
      </c>
      <c r="N25" s="9">
        <f t="shared" ref="N25" si="74">M25*0.21</f>
        <v>0.72450000000000003</v>
      </c>
      <c r="O25" s="107">
        <f t="shared" ref="O25" si="75">M25+N25</f>
        <v>4.1745000000000001</v>
      </c>
    </row>
    <row r="26" spans="1:15" x14ac:dyDescent="0.3">
      <c r="A26" s="101" t="s">
        <v>1443</v>
      </c>
      <c r="B26" s="102" t="s">
        <v>1670</v>
      </c>
      <c r="C26" s="103" t="s">
        <v>1655</v>
      </c>
      <c r="D26" s="104">
        <v>1.34</v>
      </c>
      <c r="E26" s="105">
        <v>0.2</v>
      </c>
      <c r="F26" s="181">
        <v>0.15</v>
      </c>
      <c r="G26" s="2">
        <f t="shared" si="60"/>
        <v>0.26800000000000002</v>
      </c>
      <c r="H26" s="106">
        <f t="shared" si="61"/>
        <v>1.6080000000000001</v>
      </c>
      <c r="I26" s="9">
        <f t="shared" ref="I26" si="76">H26*0.21</f>
        <v>0.33767999999999998</v>
      </c>
      <c r="J26" s="107">
        <f t="shared" ref="J26" si="77">H26+I26</f>
        <v>1.9456800000000001</v>
      </c>
      <c r="L26" s="153">
        <f t="shared" ref="L26" si="78">D26*F26</f>
        <v>0.20100000000000001</v>
      </c>
      <c r="M26" s="106">
        <f t="shared" ref="M26" si="79">D26+L26</f>
        <v>1.5410000000000001</v>
      </c>
      <c r="N26" s="9">
        <f t="shared" ref="N26" si="80">M26*0.21</f>
        <v>0.32361000000000001</v>
      </c>
      <c r="O26" s="107">
        <f t="shared" ref="O26" si="81">M26+N26</f>
        <v>1.8646100000000001</v>
      </c>
    </row>
    <row r="27" spans="1:15" x14ac:dyDescent="0.3">
      <c r="A27" s="101" t="s">
        <v>1643</v>
      </c>
      <c r="B27" s="102" t="s">
        <v>1671</v>
      </c>
      <c r="C27" s="103" t="s">
        <v>1655</v>
      </c>
      <c r="D27" s="104">
        <v>2.4</v>
      </c>
      <c r="E27" s="105">
        <v>0.2</v>
      </c>
      <c r="F27" s="181">
        <v>0.15</v>
      </c>
      <c r="G27" s="2">
        <f t="shared" si="60"/>
        <v>0.48</v>
      </c>
      <c r="H27" s="106">
        <f t="shared" si="61"/>
        <v>2.88</v>
      </c>
      <c r="I27" s="9">
        <f t="shared" si="62"/>
        <v>0.6048</v>
      </c>
      <c r="J27" s="107">
        <f t="shared" si="63"/>
        <v>3.4847999999999999</v>
      </c>
      <c r="L27" s="153">
        <f t="shared" si="4"/>
        <v>0.36</v>
      </c>
      <c r="M27" s="106">
        <f t="shared" si="5"/>
        <v>2.76</v>
      </c>
      <c r="N27" s="9">
        <f t="shared" si="6"/>
        <v>0.57959999999999989</v>
      </c>
      <c r="O27" s="107">
        <f t="shared" si="7"/>
        <v>3.3395999999999999</v>
      </c>
    </row>
    <row r="28" spans="1:15" x14ac:dyDescent="0.3">
      <c r="A28" s="101" t="s">
        <v>1644</v>
      </c>
      <c r="B28" s="102" t="s">
        <v>1672</v>
      </c>
      <c r="C28" s="103" t="s">
        <v>1655</v>
      </c>
      <c r="D28" s="104">
        <v>0.71</v>
      </c>
      <c r="E28" s="105">
        <v>0.2</v>
      </c>
      <c r="F28" s="181">
        <v>0.15</v>
      </c>
      <c r="G28" s="2">
        <f t="shared" si="60"/>
        <v>0.14199999999999999</v>
      </c>
      <c r="H28" s="106">
        <f t="shared" si="61"/>
        <v>0.85199999999999998</v>
      </c>
      <c r="I28" s="9">
        <f t="shared" ref="I28" si="82">H28*0.21</f>
        <v>0.17892</v>
      </c>
      <c r="J28" s="107">
        <f t="shared" ref="J28" si="83">H28+I28</f>
        <v>1.0309200000000001</v>
      </c>
      <c r="L28" s="153">
        <f t="shared" ref="L28" si="84">D28*F28</f>
        <v>0.1065</v>
      </c>
      <c r="M28" s="106">
        <f t="shared" ref="M28" si="85">D28+L28</f>
        <v>0.8165</v>
      </c>
      <c r="N28" s="9">
        <f t="shared" ref="N28" si="86">M28*0.21</f>
        <v>0.17146500000000001</v>
      </c>
      <c r="O28" s="107">
        <f t="shared" ref="O28" si="87">M28+N28</f>
        <v>0.98796499999999998</v>
      </c>
    </row>
    <row r="29" spans="1:15" x14ac:dyDescent="0.3">
      <c r="A29" s="101" t="s">
        <v>1645</v>
      </c>
      <c r="B29" s="102" t="s">
        <v>1673</v>
      </c>
      <c r="C29" s="103" t="s">
        <v>1655</v>
      </c>
      <c r="D29" s="104">
        <v>3.8</v>
      </c>
      <c r="E29" s="105">
        <v>0.2</v>
      </c>
      <c r="F29" s="181">
        <v>0.15</v>
      </c>
      <c r="G29" s="2">
        <f t="shared" si="60"/>
        <v>0.76</v>
      </c>
      <c r="H29" s="106">
        <f t="shared" si="61"/>
        <v>4.5599999999999996</v>
      </c>
      <c r="I29" s="9">
        <f t="shared" si="62"/>
        <v>0.9575999999999999</v>
      </c>
      <c r="J29" s="107">
        <f t="shared" si="63"/>
        <v>5.5175999999999998</v>
      </c>
      <c r="L29" s="153">
        <f t="shared" si="4"/>
        <v>0.56999999999999995</v>
      </c>
      <c r="M29" s="106">
        <f t="shared" si="5"/>
        <v>4.37</v>
      </c>
      <c r="N29" s="9">
        <f t="shared" si="6"/>
        <v>0.91769999999999996</v>
      </c>
      <c r="O29" s="107">
        <f t="shared" si="7"/>
        <v>5.2877000000000001</v>
      </c>
    </row>
  </sheetData>
  <mergeCells count="5">
    <mergeCell ref="A1:D4"/>
    <mergeCell ref="A6:D7"/>
    <mergeCell ref="A8:D9"/>
    <mergeCell ref="E10:F10"/>
    <mergeCell ref="L10:O1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39997558519241921"/>
  </sheetPr>
  <dimension ref="A1:O166"/>
  <sheetViews>
    <sheetView topLeftCell="A97" zoomScale="90" zoomScaleNormal="90" workbookViewId="0">
      <selection activeCell="P23" sqref="P23"/>
    </sheetView>
  </sheetViews>
  <sheetFormatPr defaultRowHeight="14.4" x14ac:dyDescent="0.3"/>
  <cols>
    <col min="2" max="2" width="37.6640625" customWidth="1"/>
    <col min="3" max="3" width="16.5546875" customWidth="1"/>
    <col min="4" max="4" width="15.33203125" customWidth="1"/>
    <col min="5" max="5" width="11.5546875" customWidth="1"/>
    <col min="6" max="6" width="12.5546875" customWidth="1"/>
    <col min="7" max="7" width="10.33203125" customWidth="1"/>
    <col min="8" max="8" width="16" customWidth="1"/>
    <col min="9" max="9" width="8.109375" customWidth="1"/>
    <col min="10" max="10" width="12" customWidth="1"/>
    <col min="12" max="12" width="8.6640625" customWidth="1"/>
    <col min="13" max="13" width="16.88671875" customWidth="1"/>
    <col min="15" max="15" width="13.109375" customWidth="1"/>
  </cols>
  <sheetData>
    <row r="1" spans="1:15" x14ac:dyDescent="0.3">
      <c r="A1" s="518"/>
      <c r="B1" s="519"/>
      <c r="C1" s="520"/>
    </row>
    <row r="2" spans="1:15" x14ac:dyDescent="0.3">
      <c r="A2" s="521"/>
      <c r="B2" s="522"/>
      <c r="C2" s="523"/>
    </row>
    <row r="3" spans="1:15" x14ac:dyDescent="0.3">
      <c r="A3" s="521"/>
      <c r="B3" s="522"/>
      <c r="C3" s="523"/>
    </row>
    <row r="4" spans="1:15" x14ac:dyDescent="0.3">
      <c r="A4" s="524"/>
      <c r="B4" s="525"/>
      <c r="C4" s="526"/>
    </row>
    <row r="6" spans="1:15" ht="15" customHeight="1" x14ac:dyDescent="0.3">
      <c r="A6" s="527" t="s">
        <v>1657</v>
      </c>
      <c r="B6" s="528"/>
      <c r="C6" s="528"/>
      <c r="D6" s="529"/>
    </row>
    <row r="7" spans="1:15" ht="15" customHeight="1" x14ac:dyDescent="0.3">
      <c r="A7" s="530"/>
      <c r="B7" s="531"/>
      <c r="C7" s="531"/>
      <c r="D7" s="532"/>
    </row>
    <row r="8" spans="1:15" ht="15" customHeight="1" x14ac:dyDescent="0.3">
      <c r="A8" s="533" t="s">
        <v>2218</v>
      </c>
      <c r="B8" s="534"/>
      <c r="C8" s="534"/>
      <c r="D8" s="535"/>
    </row>
    <row r="9" spans="1:15" ht="15" customHeight="1" x14ac:dyDescent="0.3">
      <c r="A9" s="536"/>
      <c r="B9" s="537"/>
      <c r="C9" s="537"/>
      <c r="D9" s="538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x14ac:dyDescent="0.3">
      <c r="A12" s="51" t="s">
        <v>13</v>
      </c>
      <c r="B12" s="52" t="s">
        <v>1674</v>
      </c>
      <c r="C12" s="53" t="s">
        <v>1655</v>
      </c>
      <c r="D12" s="54">
        <v>1.85</v>
      </c>
      <c r="E12" s="55">
        <v>0.3</v>
      </c>
      <c r="F12" s="214">
        <v>0.8</v>
      </c>
      <c r="G12" s="2">
        <f t="shared" ref="G12:G75" si="0">D12*E12</f>
        <v>0.55500000000000005</v>
      </c>
      <c r="H12" s="56">
        <f t="shared" ref="H12:H75" si="1">G12+D12</f>
        <v>2.4050000000000002</v>
      </c>
      <c r="I12" s="9">
        <f t="shared" ref="I12:I75" si="2">H12*0.21</f>
        <v>0.50505</v>
      </c>
      <c r="J12" s="57">
        <f t="shared" ref="J12:J75" si="3">H12+I12</f>
        <v>2.91005</v>
      </c>
      <c r="L12" s="153">
        <f t="shared" ref="L12:L75" si="4">D12*F12</f>
        <v>1.4800000000000002</v>
      </c>
      <c r="M12" s="56">
        <f t="shared" ref="M12:M75" si="5">D12+L12</f>
        <v>3.33</v>
      </c>
      <c r="N12" s="9">
        <f t="shared" ref="N12:N75" si="6">M12*0.21</f>
        <v>0.69930000000000003</v>
      </c>
      <c r="O12" s="57">
        <f t="shared" ref="O12:O75" si="7">M12+N12</f>
        <v>4.0293000000000001</v>
      </c>
    </row>
    <row r="13" spans="1:15" x14ac:dyDescent="0.3">
      <c r="A13" s="51" t="s">
        <v>14</v>
      </c>
      <c r="B13" s="52" t="s">
        <v>1675</v>
      </c>
      <c r="C13" s="53" t="s">
        <v>1655</v>
      </c>
      <c r="D13" s="54">
        <v>2.19</v>
      </c>
      <c r="E13" s="55">
        <v>0.3</v>
      </c>
      <c r="F13" s="214">
        <v>0.8</v>
      </c>
      <c r="G13" s="2">
        <f t="shared" si="0"/>
        <v>0.65699999999999992</v>
      </c>
      <c r="H13" s="56">
        <f t="shared" si="1"/>
        <v>2.847</v>
      </c>
      <c r="I13" s="9">
        <f t="shared" si="2"/>
        <v>0.59787000000000001</v>
      </c>
      <c r="J13" s="57">
        <f t="shared" si="3"/>
        <v>3.4448699999999999</v>
      </c>
      <c r="L13" s="153">
        <f t="shared" si="4"/>
        <v>1.752</v>
      </c>
      <c r="M13" s="56">
        <f t="shared" si="5"/>
        <v>3.9420000000000002</v>
      </c>
      <c r="N13" s="9">
        <f t="shared" si="6"/>
        <v>0.82782</v>
      </c>
      <c r="O13" s="57">
        <f t="shared" si="7"/>
        <v>4.7698200000000002</v>
      </c>
    </row>
    <row r="14" spans="1:15" x14ac:dyDescent="0.3">
      <c r="A14" s="51" t="s">
        <v>78</v>
      </c>
      <c r="B14" s="52" t="s">
        <v>1676</v>
      </c>
      <c r="C14" s="53" t="s">
        <v>1655</v>
      </c>
      <c r="D14" s="54">
        <v>0.81</v>
      </c>
      <c r="E14" s="55">
        <v>0.3</v>
      </c>
      <c r="F14" s="214">
        <v>0.8</v>
      </c>
      <c r="G14" s="2">
        <f t="shared" si="0"/>
        <v>0.24299999999999999</v>
      </c>
      <c r="H14" s="56">
        <f t="shared" si="1"/>
        <v>1.0529999999999999</v>
      </c>
      <c r="I14" s="9">
        <f t="shared" si="2"/>
        <v>0.22112999999999997</v>
      </c>
      <c r="J14" s="57">
        <f t="shared" si="3"/>
        <v>1.27413</v>
      </c>
      <c r="L14" s="153">
        <f t="shared" si="4"/>
        <v>0.64800000000000013</v>
      </c>
      <c r="M14" s="56">
        <f t="shared" si="5"/>
        <v>1.4580000000000002</v>
      </c>
      <c r="N14" s="9">
        <f t="shared" si="6"/>
        <v>0.30618000000000001</v>
      </c>
      <c r="O14" s="57">
        <f t="shared" si="7"/>
        <v>1.7641800000000001</v>
      </c>
    </row>
    <row r="15" spans="1:15" x14ac:dyDescent="0.3">
      <c r="A15" s="51" t="s">
        <v>79</v>
      </c>
      <c r="B15" s="52" t="s">
        <v>1677</v>
      </c>
      <c r="C15" s="53" t="s">
        <v>1655</v>
      </c>
      <c r="D15" s="54">
        <v>1.33</v>
      </c>
      <c r="E15" s="55">
        <v>0.3</v>
      </c>
      <c r="F15" s="214">
        <v>0.8</v>
      </c>
      <c r="G15" s="2">
        <f t="shared" si="0"/>
        <v>0.39900000000000002</v>
      </c>
      <c r="H15" s="56">
        <f t="shared" si="1"/>
        <v>1.7290000000000001</v>
      </c>
      <c r="I15" s="9">
        <f t="shared" si="2"/>
        <v>0.36309000000000002</v>
      </c>
      <c r="J15" s="57">
        <f t="shared" si="3"/>
        <v>2.0920900000000002</v>
      </c>
      <c r="L15" s="153">
        <f t="shared" si="4"/>
        <v>1.0640000000000001</v>
      </c>
      <c r="M15" s="56">
        <f t="shared" si="5"/>
        <v>2.3940000000000001</v>
      </c>
      <c r="N15" s="9">
        <f t="shared" si="6"/>
        <v>0.50273999999999996</v>
      </c>
      <c r="O15" s="57">
        <f t="shared" si="7"/>
        <v>2.8967400000000003</v>
      </c>
    </row>
    <row r="16" spans="1:15" x14ac:dyDescent="0.3">
      <c r="A16" s="51" t="s">
        <v>142</v>
      </c>
      <c r="B16" s="52" t="s">
        <v>1678</v>
      </c>
      <c r="C16" s="53" t="s">
        <v>1655</v>
      </c>
      <c r="D16" s="54">
        <v>1.89</v>
      </c>
      <c r="E16" s="55">
        <v>0.3</v>
      </c>
      <c r="F16" s="214">
        <v>0.8</v>
      </c>
      <c r="G16" s="2">
        <f t="shared" si="0"/>
        <v>0.56699999999999995</v>
      </c>
      <c r="H16" s="56">
        <f t="shared" si="1"/>
        <v>2.4569999999999999</v>
      </c>
      <c r="I16" s="9">
        <f t="shared" si="2"/>
        <v>0.51596999999999993</v>
      </c>
      <c r="J16" s="57">
        <f t="shared" si="3"/>
        <v>2.9729699999999997</v>
      </c>
      <c r="L16" s="153">
        <f t="shared" si="4"/>
        <v>1.512</v>
      </c>
      <c r="M16" s="56">
        <f t="shared" si="5"/>
        <v>3.4020000000000001</v>
      </c>
      <c r="N16" s="9">
        <f t="shared" si="6"/>
        <v>0.71442000000000005</v>
      </c>
      <c r="O16" s="57">
        <f t="shared" si="7"/>
        <v>4.1164199999999997</v>
      </c>
    </row>
    <row r="17" spans="1:15" x14ac:dyDescent="0.3">
      <c r="A17" s="51" t="s">
        <v>143</v>
      </c>
      <c r="B17" s="52" t="s">
        <v>1679</v>
      </c>
      <c r="C17" s="53" t="s">
        <v>1655</v>
      </c>
      <c r="D17" s="54">
        <v>1.17</v>
      </c>
      <c r="E17" s="55">
        <v>0.3</v>
      </c>
      <c r="F17" s="214">
        <v>0.8</v>
      </c>
      <c r="G17" s="2">
        <f t="shared" si="0"/>
        <v>0.35099999999999998</v>
      </c>
      <c r="H17" s="56">
        <f t="shared" si="1"/>
        <v>1.5209999999999999</v>
      </c>
      <c r="I17" s="9">
        <f t="shared" si="2"/>
        <v>0.31940999999999997</v>
      </c>
      <c r="J17" s="57">
        <f t="shared" si="3"/>
        <v>1.8404099999999999</v>
      </c>
      <c r="L17" s="153">
        <f t="shared" si="4"/>
        <v>0.93599999999999994</v>
      </c>
      <c r="M17" s="56">
        <f t="shared" si="5"/>
        <v>2.1059999999999999</v>
      </c>
      <c r="N17" s="9">
        <f t="shared" si="6"/>
        <v>0.44225999999999993</v>
      </c>
      <c r="O17" s="57">
        <f t="shared" si="7"/>
        <v>2.54826</v>
      </c>
    </row>
    <row r="18" spans="1:15" x14ac:dyDescent="0.3">
      <c r="A18" s="51" t="s">
        <v>1680</v>
      </c>
      <c r="B18" s="52" t="s">
        <v>1676</v>
      </c>
      <c r="C18" s="53" t="s">
        <v>1655</v>
      </c>
      <c r="D18" s="54">
        <v>2.0099999999999998</v>
      </c>
      <c r="E18" s="55">
        <v>0.3</v>
      </c>
      <c r="F18" s="214">
        <v>0.8</v>
      </c>
      <c r="G18" s="2">
        <f t="shared" si="0"/>
        <v>0.60299999999999987</v>
      </c>
      <c r="H18" s="56">
        <f t="shared" si="1"/>
        <v>2.6129999999999995</v>
      </c>
      <c r="I18" s="9">
        <f t="shared" si="2"/>
        <v>0.54872999999999983</v>
      </c>
      <c r="J18" s="57">
        <f t="shared" si="3"/>
        <v>3.1617299999999995</v>
      </c>
      <c r="L18" s="153">
        <f t="shared" si="4"/>
        <v>1.6079999999999999</v>
      </c>
      <c r="M18" s="56">
        <f t="shared" si="5"/>
        <v>3.6179999999999994</v>
      </c>
      <c r="N18" s="9">
        <f t="shared" si="6"/>
        <v>0.7597799999999999</v>
      </c>
      <c r="O18" s="57">
        <f t="shared" si="7"/>
        <v>4.3777799999999996</v>
      </c>
    </row>
    <row r="19" spans="1:15" x14ac:dyDescent="0.3">
      <c r="A19" s="51" t="s">
        <v>167</v>
      </c>
      <c r="B19" s="52" t="s">
        <v>1681</v>
      </c>
      <c r="C19" s="53" t="s">
        <v>1655</v>
      </c>
      <c r="D19" s="54">
        <v>1.59</v>
      </c>
      <c r="E19" s="55">
        <v>0.3</v>
      </c>
      <c r="F19" s="214">
        <v>0.8</v>
      </c>
      <c r="G19" s="2">
        <f t="shared" si="0"/>
        <v>0.47699999999999998</v>
      </c>
      <c r="H19" s="56">
        <f t="shared" si="1"/>
        <v>2.0670000000000002</v>
      </c>
      <c r="I19" s="9">
        <f t="shared" si="2"/>
        <v>0.43407000000000001</v>
      </c>
      <c r="J19" s="57">
        <f t="shared" si="3"/>
        <v>2.5010700000000003</v>
      </c>
      <c r="L19" s="153">
        <f t="shared" si="4"/>
        <v>1.2720000000000002</v>
      </c>
      <c r="M19" s="56">
        <f t="shared" si="5"/>
        <v>2.8620000000000001</v>
      </c>
      <c r="N19" s="9">
        <f t="shared" si="6"/>
        <v>0.60102</v>
      </c>
      <c r="O19" s="57">
        <f t="shared" si="7"/>
        <v>3.4630200000000002</v>
      </c>
    </row>
    <row r="20" spans="1:15" x14ac:dyDescent="0.3">
      <c r="A20" s="51" t="s">
        <v>1682</v>
      </c>
      <c r="B20" s="52" t="s">
        <v>1683</v>
      </c>
      <c r="C20" s="53" t="s">
        <v>1655</v>
      </c>
      <c r="D20" s="54">
        <v>1.05</v>
      </c>
      <c r="E20" s="55">
        <v>0.3</v>
      </c>
      <c r="F20" s="214">
        <v>0.8</v>
      </c>
      <c r="G20" s="2">
        <f t="shared" si="0"/>
        <v>0.315</v>
      </c>
      <c r="H20" s="56">
        <f t="shared" si="1"/>
        <v>1.365</v>
      </c>
      <c r="I20" s="9">
        <f t="shared" si="2"/>
        <v>0.28664999999999996</v>
      </c>
      <c r="J20" s="57">
        <f t="shared" si="3"/>
        <v>1.6516500000000001</v>
      </c>
      <c r="L20" s="153">
        <f t="shared" si="4"/>
        <v>0.84000000000000008</v>
      </c>
      <c r="M20" s="56">
        <f t="shared" si="5"/>
        <v>1.8900000000000001</v>
      </c>
      <c r="N20" s="9">
        <f t="shared" si="6"/>
        <v>0.39690000000000003</v>
      </c>
      <c r="O20" s="57">
        <f t="shared" si="7"/>
        <v>2.2869000000000002</v>
      </c>
    </row>
    <row r="21" spans="1:15" x14ac:dyDescent="0.3">
      <c r="A21" s="51" t="s">
        <v>244</v>
      </c>
      <c r="B21" s="52" t="s">
        <v>1684</v>
      </c>
      <c r="C21" s="53" t="s">
        <v>1655</v>
      </c>
      <c r="D21" s="54">
        <v>1.23</v>
      </c>
      <c r="E21" s="55">
        <v>0.3</v>
      </c>
      <c r="F21" s="214">
        <v>0.8</v>
      </c>
      <c r="G21" s="2">
        <f t="shared" si="0"/>
        <v>0.36899999999999999</v>
      </c>
      <c r="H21" s="56">
        <f t="shared" si="1"/>
        <v>1.599</v>
      </c>
      <c r="I21" s="9">
        <f t="shared" si="2"/>
        <v>0.33578999999999998</v>
      </c>
      <c r="J21" s="57">
        <f t="shared" si="3"/>
        <v>1.93479</v>
      </c>
      <c r="L21" s="153">
        <f t="shared" si="4"/>
        <v>0.98399999999999999</v>
      </c>
      <c r="M21" s="56">
        <f t="shared" si="5"/>
        <v>2.214</v>
      </c>
      <c r="N21" s="9">
        <f t="shared" si="6"/>
        <v>0.46493999999999996</v>
      </c>
      <c r="O21" s="57">
        <f t="shared" si="7"/>
        <v>2.6789399999999999</v>
      </c>
    </row>
    <row r="22" spans="1:15" x14ac:dyDescent="0.3">
      <c r="A22" s="51" t="s">
        <v>245</v>
      </c>
      <c r="B22" s="52" t="s">
        <v>1685</v>
      </c>
      <c r="C22" s="53" t="s">
        <v>1655</v>
      </c>
      <c r="D22" s="54">
        <v>0.47</v>
      </c>
      <c r="E22" s="55">
        <v>0.3</v>
      </c>
      <c r="F22" s="214">
        <v>0.8</v>
      </c>
      <c r="G22" s="2">
        <f t="shared" si="0"/>
        <v>0.14099999999999999</v>
      </c>
      <c r="H22" s="56">
        <f t="shared" si="1"/>
        <v>0.61099999999999999</v>
      </c>
      <c r="I22" s="9">
        <f t="shared" si="2"/>
        <v>0.12830999999999998</v>
      </c>
      <c r="J22" s="57">
        <f t="shared" si="3"/>
        <v>0.73930999999999991</v>
      </c>
      <c r="L22" s="153">
        <f t="shared" si="4"/>
        <v>0.376</v>
      </c>
      <c r="M22" s="56">
        <f t="shared" si="5"/>
        <v>0.84599999999999997</v>
      </c>
      <c r="N22" s="9">
        <f t="shared" si="6"/>
        <v>0.17765999999999998</v>
      </c>
      <c r="O22" s="57">
        <f t="shared" si="7"/>
        <v>1.02366</v>
      </c>
    </row>
    <row r="23" spans="1:15" x14ac:dyDescent="0.3">
      <c r="A23" s="51" t="s">
        <v>246</v>
      </c>
      <c r="B23" s="52" t="s">
        <v>1686</v>
      </c>
      <c r="C23" s="53" t="s">
        <v>1655</v>
      </c>
      <c r="D23" s="54">
        <v>2.39</v>
      </c>
      <c r="E23" s="55">
        <v>0.3</v>
      </c>
      <c r="F23" s="214">
        <v>0.8</v>
      </c>
      <c r="G23" s="2">
        <f t="shared" si="0"/>
        <v>0.71699999999999997</v>
      </c>
      <c r="H23" s="56">
        <f t="shared" si="1"/>
        <v>3.1070000000000002</v>
      </c>
      <c r="I23" s="9">
        <f t="shared" si="2"/>
        <v>0.65246999999999999</v>
      </c>
      <c r="J23" s="57">
        <f t="shared" si="3"/>
        <v>3.7594700000000003</v>
      </c>
      <c r="L23" s="153">
        <f t="shared" si="4"/>
        <v>1.9120000000000001</v>
      </c>
      <c r="M23" s="56">
        <f t="shared" si="5"/>
        <v>4.3020000000000005</v>
      </c>
      <c r="N23" s="9">
        <f t="shared" si="6"/>
        <v>0.90342000000000011</v>
      </c>
      <c r="O23" s="57">
        <f t="shared" si="7"/>
        <v>5.2054200000000002</v>
      </c>
    </row>
    <row r="24" spans="1:15" x14ac:dyDescent="0.3">
      <c r="A24" s="51" t="s">
        <v>247</v>
      </c>
      <c r="B24" s="52" t="s">
        <v>1687</v>
      </c>
      <c r="C24" s="53" t="s">
        <v>1655</v>
      </c>
      <c r="D24" s="54">
        <v>1.25</v>
      </c>
      <c r="E24" s="55">
        <v>0.3</v>
      </c>
      <c r="F24" s="214">
        <v>0.8</v>
      </c>
      <c r="G24" s="2">
        <f t="shared" si="0"/>
        <v>0.375</v>
      </c>
      <c r="H24" s="56">
        <f t="shared" si="1"/>
        <v>1.625</v>
      </c>
      <c r="I24" s="9">
        <f t="shared" si="2"/>
        <v>0.34125</v>
      </c>
      <c r="J24" s="57">
        <f t="shared" si="3"/>
        <v>1.9662500000000001</v>
      </c>
      <c r="L24" s="153">
        <f t="shared" si="4"/>
        <v>1</v>
      </c>
      <c r="M24" s="56">
        <f t="shared" si="5"/>
        <v>2.25</v>
      </c>
      <c r="N24" s="9">
        <f t="shared" si="6"/>
        <v>0.47249999999999998</v>
      </c>
      <c r="O24" s="57">
        <f t="shared" si="7"/>
        <v>2.7225000000000001</v>
      </c>
    </row>
    <row r="25" spans="1:15" x14ac:dyDescent="0.3">
      <c r="A25" s="51" t="s">
        <v>248</v>
      </c>
      <c r="B25" s="52" t="s">
        <v>1688</v>
      </c>
      <c r="C25" s="53" t="s">
        <v>1655</v>
      </c>
      <c r="D25" s="54">
        <v>1.73</v>
      </c>
      <c r="E25" s="55">
        <v>0.3</v>
      </c>
      <c r="F25" s="214">
        <v>0.8</v>
      </c>
      <c r="G25" s="2">
        <f t="shared" si="0"/>
        <v>0.51900000000000002</v>
      </c>
      <c r="H25" s="56">
        <f t="shared" si="1"/>
        <v>2.2490000000000001</v>
      </c>
      <c r="I25" s="9">
        <f t="shared" si="2"/>
        <v>0.47228999999999999</v>
      </c>
      <c r="J25" s="57">
        <f t="shared" si="3"/>
        <v>2.7212900000000002</v>
      </c>
      <c r="L25" s="153">
        <f t="shared" si="4"/>
        <v>1.3840000000000001</v>
      </c>
      <c r="M25" s="56">
        <f t="shared" si="5"/>
        <v>3.1139999999999999</v>
      </c>
      <c r="N25" s="9">
        <f t="shared" si="6"/>
        <v>0.65393999999999997</v>
      </c>
      <c r="O25" s="57">
        <f t="shared" si="7"/>
        <v>3.7679399999999998</v>
      </c>
    </row>
    <row r="26" spans="1:15" x14ac:dyDescent="0.3">
      <c r="A26" s="51" t="s">
        <v>249</v>
      </c>
      <c r="B26" s="52" t="s">
        <v>1689</v>
      </c>
      <c r="C26" s="53" t="s">
        <v>1655</v>
      </c>
      <c r="D26" s="54">
        <v>2.0699999999999998</v>
      </c>
      <c r="E26" s="55">
        <v>0.3</v>
      </c>
      <c r="F26" s="214">
        <v>0.8</v>
      </c>
      <c r="G26" s="2">
        <f t="shared" si="0"/>
        <v>0.62099999999999989</v>
      </c>
      <c r="H26" s="56">
        <f t="shared" si="1"/>
        <v>2.6909999999999998</v>
      </c>
      <c r="I26" s="9">
        <f t="shared" si="2"/>
        <v>0.56510999999999989</v>
      </c>
      <c r="J26" s="57">
        <f t="shared" si="3"/>
        <v>3.2561099999999996</v>
      </c>
      <c r="L26" s="153">
        <f t="shared" si="4"/>
        <v>1.6559999999999999</v>
      </c>
      <c r="M26" s="56">
        <f t="shared" si="5"/>
        <v>3.726</v>
      </c>
      <c r="N26" s="9">
        <f t="shared" si="6"/>
        <v>0.78245999999999993</v>
      </c>
      <c r="O26" s="57">
        <f t="shared" si="7"/>
        <v>4.5084599999999995</v>
      </c>
    </row>
    <row r="27" spans="1:15" x14ac:dyDescent="0.3">
      <c r="A27" s="51" t="s">
        <v>255</v>
      </c>
      <c r="B27" s="52" t="s">
        <v>1690</v>
      </c>
      <c r="C27" s="53" t="s">
        <v>1655</v>
      </c>
      <c r="D27" s="54">
        <v>2.41</v>
      </c>
      <c r="E27" s="55">
        <v>0.3</v>
      </c>
      <c r="F27" s="214">
        <v>0.8</v>
      </c>
      <c r="G27" s="2">
        <f t="shared" si="0"/>
        <v>0.72299999999999998</v>
      </c>
      <c r="H27" s="56">
        <f t="shared" si="1"/>
        <v>3.133</v>
      </c>
      <c r="I27" s="9">
        <f t="shared" si="2"/>
        <v>0.65793000000000001</v>
      </c>
      <c r="J27" s="57">
        <f t="shared" si="3"/>
        <v>3.7909299999999999</v>
      </c>
      <c r="L27" s="153">
        <f t="shared" si="4"/>
        <v>1.9280000000000002</v>
      </c>
      <c r="M27" s="56">
        <f t="shared" si="5"/>
        <v>4.3380000000000001</v>
      </c>
      <c r="N27" s="9">
        <f t="shared" si="6"/>
        <v>0.91098000000000001</v>
      </c>
      <c r="O27" s="57">
        <f t="shared" si="7"/>
        <v>5.2489800000000004</v>
      </c>
    </row>
    <row r="28" spans="1:15" x14ac:dyDescent="0.3">
      <c r="A28" s="51" t="s">
        <v>256</v>
      </c>
      <c r="B28" s="52" t="s">
        <v>1691</v>
      </c>
      <c r="C28" s="53" t="s">
        <v>1655</v>
      </c>
      <c r="D28" s="54">
        <v>1.93</v>
      </c>
      <c r="E28" s="55">
        <v>0.3</v>
      </c>
      <c r="F28" s="214">
        <v>0.8</v>
      </c>
      <c r="G28" s="2">
        <f t="shared" si="0"/>
        <v>0.57899999999999996</v>
      </c>
      <c r="H28" s="56">
        <f t="shared" si="1"/>
        <v>2.5089999999999999</v>
      </c>
      <c r="I28" s="9">
        <f t="shared" si="2"/>
        <v>0.52688999999999997</v>
      </c>
      <c r="J28" s="57">
        <f t="shared" si="3"/>
        <v>3.0358899999999998</v>
      </c>
      <c r="L28" s="153">
        <f t="shared" si="4"/>
        <v>1.544</v>
      </c>
      <c r="M28" s="56">
        <f t="shared" si="5"/>
        <v>3.4740000000000002</v>
      </c>
      <c r="N28" s="9">
        <f t="shared" si="6"/>
        <v>0.72953999999999997</v>
      </c>
      <c r="O28" s="57">
        <f t="shared" si="7"/>
        <v>4.2035400000000003</v>
      </c>
    </row>
    <row r="29" spans="1:15" x14ac:dyDescent="0.3">
      <c r="A29" s="51" t="s">
        <v>257</v>
      </c>
      <c r="B29" s="52" t="s">
        <v>1692</v>
      </c>
      <c r="C29" s="53" t="s">
        <v>1655</v>
      </c>
      <c r="D29" s="54">
        <v>0.71</v>
      </c>
      <c r="E29" s="55">
        <v>0.3</v>
      </c>
      <c r="F29" s="214">
        <v>0.8</v>
      </c>
      <c r="G29" s="2">
        <f t="shared" si="0"/>
        <v>0.21299999999999999</v>
      </c>
      <c r="H29" s="56">
        <f t="shared" si="1"/>
        <v>0.92299999999999993</v>
      </c>
      <c r="I29" s="9">
        <f t="shared" si="2"/>
        <v>0.19382999999999997</v>
      </c>
      <c r="J29" s="57">
        <f t="shared" si="3"/>
        <v>1.11683</v>
      </c>
      <c r="L29" s="153">
        <f t="shared" si="4"/>
        <v>0.56799999999999995</v>
      </c>
      <c r="M29" s="56">
        <f t="shared" si="5"/>
        <v>1.278</v>
      </c>
      <c r="N29" s="9">
        <f t="shared" si="6"/>
        <v>0.26838000000000001</v>
      </c>
      <c r="O29" s="57">
        <f t="shared" si="7"/>
        <v>1.5463800000000001</v>
      </c>
    </row>
    <row r="30" spans="1:15" x14ac:dyDescent="0.3">
      <c r="A30" s="51" t="s">
        <v>258</v>
      </c>
      <c r="B30" s="52" t="s">
        <v>1693</v>
      </c>
      <c r="C30" s="53" t="s">
        <v>1655</v>
      </c>
      <c r="D30" s="54">
        <v>1.27</v>
      </c>
      <c r="E30" s="55">
        <v>0.3</v>
      </c>
      <c r="F30" s="214">
        <v>0.8</v>
      </c>
      <c r="G30" s="2">
        <f t="shared" si="0"/>
        <v>0.38100000000000001</v>
      </c>
      <c r="H30" s="56">
        <f t="shared" si="1"/>
        <v>1.651</v>
      </c>
      <c r="I30" s="9">
        <f t="shared" si="2"/>
        <v>0.34671000000000002</v>
      </c>
      <c r="J30" s="57">
        <f t="shared" si="3"/>
        <v>1.9977100000000001</v>
      </c>
      <c r="L30" s="153">
        <f t="shared" si="4"/>
        <v>1.016</v>
      </c>
      <c r="M30" s="56">
        <f t="shared" si="5"/>
        <v>2.286</v>
      </c>
      <c r="N30" s="9">
        <f t="shared" si="6"/>
        <v>0.48005999999999999</v>
      </c>
      <c r="O30" s="57">
        <f t="shared" si="7"/>
        <v>2.76606</v>
      </c>
    </row>
    <row r="31" spans="1:15" x14ac:dyDescent="0.3">
      <c r="A31" s="51" t="s">
        <v>280</v>
      </c>
      <c r="B31" s="52" t="s">
        <v>1694</v>
      </c>
      <c r="C31" s="53" t="s">
        <v>1655</v>
      </c>
      <c r="D31" s="54">
        <v>2.23</v>
      </c>
      <c r="E31" s="55">
        <v>0.3</v>
      </c>
      <c r="F31" s="214">
        <v>0.8</v>
      </c>
      <c r="G31" s="2">
        <f t="shared" si="0"/>
        <v>0.66899999999999993</v>
      </c>
      <c r="H31" s="56">
        <f t="shared" si="1"/>
        <v>2.899</v>
      </c>
      <c r="I31" s="9">
        <f t="shared" si="2"/>
        <v>0.60878999999999994</v>
      </c>
      <c r="J31" s="57">
        <f t="shared" si="3"/>
        <v>3.50779</v>
      </c>
      <c r="L31" s="153">
        <f t="shared" si="4"/>
        <v>1.784</v>
      </c>
      <c r="M31" s="56">
        <f t="shared" si="5"/>
        <v>4.0140000000000002</v>
      </c>
      <c r="N31" s="9">
        <f t="shared" si="6"/>
        <v>0.84294000000000002</v>
      </c>
      <c r="O31" s="57">
        <f t="shared" si="7"/>
        <v>4.8569399999999998</v>
      </c>
    </row>
    <row r="32" spans="1:15" x14ac:dyDescent="0.3">
      <c r="A32" s="51" t="s">
        <v>281</v>
      </c>
      <c r="B32" s="52" t="s">
        <v>1695</v>
      </c>
      <c r="C32" s="53" t="s">
        <v>1655</v>
      </c>
      <c r="D32" s="54">
        <v>1.1100000000000001</v>
      </c>
      <c r="E32" s="55">
        <v>0.3</v>
      </c>
      <c r="F32" s="214">
        <v>0.8</v>
      </c>
      <c r="G32" s="2">
        <f t="shared" si="0"/>
        <v>0.33300000000000002</v>
      </c>
      <c r="H32" s="56">
        <f t="shared" si="1"/>
        <v>1.4430000000000001</v>
      </c>
      <c r="I32" s="9">
        <f t="shared" si="2"/>
        <v>0.30303000000000002</v>
      </c>
      <c r="J32" s="57">
        <f t="shared" si="3"/>
        <v>1.7460300000000002</v>
      </c>
      <c r="L32" s="153">
        <f t="shared" si="4"/>
        <v>0.88800000000000012</v>
      </c>
      <c r="M32" s="56">
        <f t="shared" si="5"/>
        <v>1.9980000000000002</v>
      </c>
      <c r="N32" s="9">
        <f t="shared" si="6"/>
        <v>0.41958000000000001</v>
      </c>
      <c r="O32" s="57">
        <f t="shared" si="7"/>
        <v>2.4175800000000001</v>
      </c>
    </row>
    <row r="33" spans="1:15" x14ac:dyDescent="0.3">
      <c r="A33" s="51" t="s">
        <v>282</v>
      </c>
      <c r="B33" s="52" t="s">
        <v>1696</v>
      </c>
      <c r="C33" s="53" t="s">
        <v>1655</v>
      </c>
      <c r="D33" s="54">
        <v>0.83</v>
      </c>
      <c r="E33" s="55">
        <v>0.3</v>
      </c>
      <c r="F33" s="214">
        <v>0.8</v>
      </c>
      <c r="G33" s="2">
        <f t="shared" si="0"/>
        <v>0.24899999999999997</v>
      </c>
      <c r="H33" s="56">
        <f t="shared" si="1"/>
        <v>1.079</v>
      </c>
      <c r="I33" s="9">
        <f t="shared" si="2"/>
        <v>0.22658999999999999</v>
      </c>
      <c r="J33" s="57">
        <f t="shared" si="3"/>
        <v>1.30559</v>
      </c>
      <c r="L33" s="153">
        <f t="shared" si="4"/>
        <v>0.66400000000000003</v>
      </c>
      <c r="M33" s="56">
        <f t="shared" si="5"/>
        <v>1.494</v>
      </c>
      <c r="N33" s="9">
        <f t="shared" si="6"/>
        <v>0.31373999999999996</v>
      </c>
      <c r="O33" s="57">
        <f t="shared" si="7"/>
        <v>1.8077399999999999</v>
      </c>
    </row>
    <row r="34" spans="1:15" x14ac:dyDescent="0.3">
      <c r="A34" s="51" t="s">
        <v>283</v>
      </c>
      <c r="B34" s="52" t="s">
        <v>1697</v>
      </c>
      <c r="C34" s="53" t="s">
        <v>1655</v>
      </c>
      <c r="D34" s="54">
        <v>1.91</v>
      </c>
      <c r="E34" s="55">
        <v>0.3</v>
      </c>
      <c r="F34" s="214">
        <v>0.8</v>
      </c>
      <c r="G34" s="2">
        <f t="shared" si="0"/>
        <v>0.57299999999999995</v>
      </c>
      <c r="H34" s="56">
        <f t="shared" si="1"/>
        <v>2.4829999999999997</v>
      </c>
      <c r="I34" s="9">
        <f t="shared" si="2"/>
        <v>0.52142999999999995</v>
      </c>
      <c r="J34" s="57">
        <f t="shared" si="3"/>
        <v>3.0044299999999997</v>
      </c>
      <c r="L34" s="153">
        <f t="shared" si="4"/>
        <v>1.528</v>
      </c>
      <c r="M34" s="56">
        <f t="shared" si="5"/>
        <v>3.4379999999999997</v>
      </c>
      <c r="N34" s="9">
        <f t="shared" si="6"/>
        <v>0.72197999999999996</v>
      </c>
      <c r="O34" s="57">
        <f t="shared" si="7"/>
        <v>4.15998</v>
      </c>
    </row>
    <row r="35" spans="1:15" x14ac:dyDescent="0.3">
      <c r="A35" s="51" t="s">
        <v>284</v>
      </c>
      <c r="B35" s="52" t="s">
        <v>1698</v>
      </c>
      <c r="C35" s="53" t="s">
        <v>1655</v>
      </c>
      <c r="D35" s="54">
        <v>1.49</v>
      </c>
      <c r="E35" s="55">
        <v>0.3</v>
      </c>
      <c r="F35" s="214">
        <v>0.8</v>
      </c>
      <c r="G35" s="2">
        <f t="shared" si="0"/>
        <v>0.44700000000000001</v>
      </c>
      <c r="H35" s="56">
        <f t="shared" si="1"/>
        <v>1.9370000000000001</v>
      </c>
      <c r="I35" s="9">
        <f t="shared" si="2"/>
        <v>0.40677000000000002</v>
      </c>
      <c r="J35" s="57">
        <f t="shared" si="3"/>
        <v>2.3437700000000001</v>
      </c>
      <c r="L35" s="153">
        <f t="shared" si="4"/>
        <v>1.1919999999999999</v>
      </c>
      <c r="M35" s="56">
        <f t="shared" si="5"/>
        <v>2.6819999999999999</v>
      </c>
      <c r="N35" s="9">
        <f t="shared" si="6"/>
        <v>0.56321999999999994</v>
      </c>
      <c r="O35" s="57">
        <f t="shared" si="7"/>
        <v>3.2452199999999998</v>
      </c>
    </row>
    <row r="36" spans="1:15" x14ac:dyDescent="0.3">
      <c r="A36" s="51" t="s">
        <v>285</v>
      </c>
      <c r="B36" s="52" t="s">
        <v>1699</v>
      </c>
      <c r="C36" s="53" t="s">
        <v>1655</v>
      </c>
      <c r="D36" s="54">
        <v>1.45</v>
      </c>
      <c r="E36" s="55">
        <v>0.3</v>
      </c>
      <c r="F36" s="214">
        <v>0.8</v>
      </c>
      <c r="G36" s="2">
        <f t="shared" si="0"/>
        <v>0.435</v>
      </c>
      <c r="H36" s="56">
        <f t="shared" si="1"/>
        <v>1.885</v>
      </c>
      <c r="I36" s="9">
        <f t="shared" si="2"/>
        <v>0.39584999999999998</v>
      </c>
      <c r="J36" s="57">
        <f t="shared" si="3"/>
        <v>2.28085</v>
      </c>
      <c r="L36" s="153">
        <f t="shared" si="4"/>
        <v>1.1599999999999999</v>
      </c>
      <c r="M36" s="56">
        <f t="shared" si="5"/>
        <v>2.61</v>
      </c>
      <c r="N36" s="9">
        <f t="shared" si="6"/>
        <v>0.54809999999999992</v>
      </c>
      <c r="O36" s="57">
        <f t="shared" si="7"/>
        <v>3.1580999999999997</v>
      </c>
    </row>
    <row r="37" spans="1:15" x14ac:dyDescent="0.3">
      <c r="A37" s="51" t="s">
        <v>286</v>
      </c>
      <c r="B37" s="52" t="s">
        <v>1700</v>
      </c>
      <c r="C37" s="53" t="s">
        <v>1655</v>
      </c>
      <c r="D37" s="54">
        <v>1.71</v>
      </c>
      <c r="E37" s="55">
        <v>0.3</v>
      </c>
      <c r="F37" s="214">
        <v>0.8</v>
      </c>
      <c r="G37" s="2">
        <f t="shared" si="0"/>
        <v>0.51300000000000001</v>
      </c>
      <c r="H37" s="56">
        <f t="shared" si="1"/>
        <v>2.2229999999999999</v>
      </c>
      <c r="I37" s="9">
        <f t="shared" si="2"/>
        <v>0.46682999999999997</v>
      </c>
      <c r="J37" s="57">
        <f t="shared" si="3"/>
        <v>2.6898299999999997</v>
      </c>
      <c r="L37" s="153">
        <f t="shared" si="4"/>
        <v>1.3680000000000001</v>
      </c>
      <c r="M37" s="56">
        <f t="shared" si="5"/>
        <v>3.0780000000000003</v>
      </c>
      <c r="N37" s="9">
        <f t="shared" si="6"/>
        <v>0.64638000000000007</v>
      </c>
      <c r="O37" s="57">
        <f t="shared" si="7"/>
        <v>3.7243800000000005</v>
      </c>
    </row>
    <row r="38" spans="1:15" x14ac:dyDescent="0.3">
      <c r="A38" s="51" t="s">
        <v>287</v>
      </c>
      <c r="B38" s="52" t="s">
        <v>1701</v>
      </c>
      <c r="C38" s="53" t="s">
        <v>1655</v>
      </c>
      <c r="D38" s="54">
        <v>1.69</v>
      </c>
      <c r="E38" s="55">
        <v>0.3</v>
      </c>
      <c r="F38" s="214">
        <v>0.8</v>
      </c>
      <c r="G38" s="2">
        <f t="shared" si="0"/>
        <v>0.50700000000000001</v>
      </c>
      <c r="H38" s="56">
        <f t="shared" si="1"/>
        <v>2.1970000000000001</v>
      </c>
      <c r="I38" s="9">
        <f t="shared" si="2"/>
        <v>0.46137</v>
      </c>
      <c r="J38" s="57">
        <f t="shared" si="3"/>
        <v>2.6583700000000001</v>
      </c>
      <c r="L38" s="153">
        <f t="shared" si="4"/>
        <v>1.3520000000000001</v>
      </c>
      <c r="M38" s="56">
        <f t="shared" si="5"/>
        <v>3.0419999999999998</v>
      </c>
      <c r="N38" s="9">
        <f t="shared" si="6"/>
        <v>0.63881999999999994</v>
      </c>
      <c r="O38" s="57">
        <f t="shared" si="7"/>
        <v>3.6808199999999998</v>
      </c>
    </row>
    <row r="39" spans="1:15" x14ac:dyDescent="0.3">
      <c r="A39" s="51" t="s">
        <v>288</v>
      </c>
      <c r="B39" s="52" t="s">
        <v>1702</v>
      </c>
      <c r="C39" s="53" t="s">
        <v>1655</v>
      </c>
      <c r="D39" s="54">
        <v>2.13</v>
      </c>
      <c r="E39" s="55">
        <v>0.3</v>
      </c>
      <c r="F39" s="214">
        <v>0.8</v>
      </c>
      <c r="G39" s="2">
        <f t="shared" si="0"/>
        <v>0.6389999999999999</v>
      </c>
      <c r="H39" s="56">
        <f t="shared" si="1"/>
        <v>2.7689999999999997</v>
      </c>
      <c r="I39" s="9">
        <f t="shared" si="2"/>
        <v>0.58148999999999995</v>
      </c>
      <c r="J39" s="57">
        <f t="shared" si="3"/>
        <v>3.3504899999999997</v>
      </c>
      <c r="L39" s="153">
        <f t="shared" si="4"/>
        <v>1.704</v>
      </c>
      <c r="M39" s="56">
        <f t="shared" si="5"/>
        <v>3.8339999999999996</v>
      </c>
      <c r="N39" s="9">
        <f t="shared" si="6"/>
        <v>0.80513999999999986</v>
      </c>
      <c r="O39" s="57">
        <f t="shared" si="7"/>
        <v>4.6391399999999994</v>
      </c>
    </row>
    <row r="40" spans="1:15" x14ac:dyDescent="0.3">
      <c r="A40" s="51" t="s">
        <v>289</v>
      </c>
      <c r="B40" s="52" t="s">
        <v>1703</v>
      </c>
      <c r="C40" s="53" t="s">
        <v>1655</v>
      </c>
      <c r="D40" s="54">
        <v>1.39</v>
      </c>
      <c r="E40" s="55">
        <v>0.3</v>
      </c>
      <c r="F40" s="214">
        <v>0.8</v>
      </c>
      <c r="G40" s="2">
        <f t="shared" si="0"/>
        <v>0.41699999999999998</v>
      </c>
      <c r="H40" s="56">
        <f t="shared" si="1"/>
        <v>1.8069999999999999</v>
      </c>
      <c r="I40" s="9">
        <f t="shared" si="2"/>
        <v>0.37946999999999997</v>
      </c>
      <c r="J40" s="57">
        <f t="shared" si="3"/>
        <v>2.1864699999999999</v>
      </c>
      <c r="L40" s="153">
        <f t="shared" si="4"/>
        <v>1.1119999999999999</v>
      </c>
      <c r="M40" s="56">
        <f t="shared" si="5"/>
        <v>2.5019999999999998</v>
      </c>
      <c r="N40" s="9">
        <f t="shared" si="6"/>
        <v>0.52541999999999989</v>
      </c>
      <c r="O40" s="57">
        <f t="shared" si="7"/>
        <v>3.0274199999999998</v>
      </c>
    </row>
    <row r="41" spans="1:15" x14ac:dyDescent="0.3">
      <c r="A41" s="51" t="s">
        <v>1704</v>
      </c>
      <c r="B41" s="52" t="s">
        <v>1705</v>
      </c>
      <c r="C41" s="53" t="s">
        <v>1655</v>
      </c>
      <c r="D41" s="54">
        <v>0.85</v>
      </c>
      <c r="E41" s="55">
        <v>0.3</v>
      </c>
      <c r="F41" s="214">
        <v>0.8</v>
      </c>
      <c r="G41" s="2">
        <f t="shared" si="0"/>
        <v>0.255</v>
      </c>
      <c r="H41" s="56">
        <f t="shared" si="1"/>
        <v>1.105</v>
      </c>
      <c r="I41" s="9">
        <f t="shared" si="2"/>
        <v>0.23204999999999998</v>
      </c>
      <c r="J41" s="57">
        <f t="shared" si="3"/>
        <v>1.3370500000000001</v>
      </c>
      <c r="L41" s="153">
        <f t="shared" si="4"/>
        <v>0.68</v>
      </c>
      <c r="M41" s="56">
        <f t="shared" si="5"/>
        <v>1.53</v>
      </c>
      <c r="N41" s="9">
        <f t="shared" si="6"/>
        <v>0.32129999999999997</v>
      </c>
      <c r="O41" s="57">
        <f t="shared" si="7"/>
        <v>1.8512999999999999</v>
      </c>
    </row>
    <row r="42" spans="1:15" x14ac:dyDescent="0.3">
      <c r="A42" s="51" t="s">
        <v>1706</v>
      </c>
      <c r="B42" s="52" t="s">
        <v>1707</v>
      </c>
      <c r="C42" s="53" t="s">
        <v>1655</v>
      </c>
      <c r="D42" s="54">
        <v>1.19</v>
      </c>
      <c r="E42" s="55">
        <v>0.3</v>
      </c>
      <c r="F42" s="214">
        <v>0.8</v>
      </c>
      <c r="G42" s="2">
        <f t="shared" si="0"/>
        <v>0.35699999999999998</v>
      </c>
      <c r="H42" s="56">
        <f t="shared" si="1"/>
        <v>1.5469999999999999</v>
      </c>
      <c r="I42" s="9">
        <f t="shared" si="2"/>
        <v>0.32486999999999999</v>
      </c>
      <c r="J42" s="57">
        <f t="shared" si="3"/>
        <v>1.8718699999999999</v>
      </c>
      <c r="L42" s="153">
        <f t="shared" si="4"/>
        <v>0.95199999999999996</v>
      </c>
      <c r="M42" s="56">
        <f t="shared" si="5"/>
        <v>2.1419999999999999</v>
      </c>
      <c r="N42" s="9">
        <f t="shared" si="6"/>
        <v>0.44981999999999994</v>
      </c>
      <c r="O42" s="57">
        <f t="shared" si="7"/>
        <v>2.5918199999999998</v>
      </c>
    </row>
    <row r="43" spans="1:15" x14ac:dyDescent="0.3">
      <c r="A43" s="51" t="s">
        <v>1708</v>
      </c>
      <c r="B43" s="52" t="s">
        <v>1709</v>
      </c>
      <c r="C43" s="53" t="s">
        <v>1655</v>
      </c>
      <c r="D43" s="54">
        <v>1.65</v>
      </c>
      <c r="E43" s="55">
        <v>0.3</v>
      </c>
      <c r="F43" s="214">
        <v>0.8</v>
      </c>
      <c r="G43" s="2">
        <f t="shared" si="0"/>
        <v>0.49499999999999994</v>
      </c>
      <c r="H43" s="56">
        <f t="shared" si="1"/>
        <v>2.145</v>
      </c>
      <c r="I43" s="9">
        <f t="shared" si="2"/>
        <v>0.45044999999999996</v>
      </c>
      <c r="J43" s="57">
        <f t="shared" si="3"/>
        <v>2.59545</v>
      </c>
      <c r="L43" s="153">
        <f t="shared" si="4"/>
        <v>1.32</v>
      </c>
      <c r="M43" s="56">
        <f t="shared" si="5"/>
        <v>2.9699999999999998</v>
      </c>
      <c r="N43" s="9">
        <f t="shared" si="6"/>
        <v>0.62369999999999992</v>
      </c>
      <c r="O43" s="57">
        <f t="shared" si="7"/>
        <v>3.5936999999999997</v>
      </c>
    </row>
    <row r="44" spans="1:15" x14ac:dyDescent="0.3">
      <c r="A44" s="51" t="s">
        <v>318</v>
      </c>
      <c r="B44" s="52" t="s">
        <v>1710</v>
      </c>
      <c r="C44" s="53" t="s">
        <v>1655</v>
      </c>
      <c r="D44" s="54">
        <v>1.03</v>
      </c>
      <c r="E44" s="55">
        <v>0.3</v>
      </c>
      <c r="F44" s="214">
        <v>0.8</v>
      </c>
      <c r="G44" s="2">
        <f t="shared" si="0"/>
        <v>0.309</v>
      </c>
      <c r="H44" s="56">
        <f t="shared" si="1"/>
        <v>1.339</v>
      </c>
      <c r="I44" s="9">
        <f t="shared" si="2"/>
        <v>0.28119</v>
      </c>
      <c r="J44" s="57">
        <f t="shared" si="3"/>
        <v>1.62019</v>
      </c>
      <c r="L44" s="153">
        <f t="shared" si="4"/>
        <v>0.82400000000000007</v>
      </c>
      <c r="M44" s="56">
        <f t="shared" si="5"/>
        <v>1.8540000000000001</v>
      </c>
      <c r="N44" s="9">
        <f t="shared" si="6"/>
        <v>0.38934000000000002</v>
      </c>
      <c r="O44" s="57">
        <f t="shared" si="7"/>
        <v>2.2433399999999999</v>
      </c>
    </row>
    <row r="45" spans="1:15" x14ac:dyDescent="0.3">
      <c r="A45" s="51" t="s">
        <v>319</v>
      </c>
      <c r="B45" s="52" t="s">
        <v>1711</v>
      </c>
      <c r="C45" s="53" t="s">
        <v>1655</v>
      </c>
      <c r="D45" s="54">
        <v>2.35</v>
      </c>
      <c r="E45" s="55">
        <v>0.3</v>
      </c>
      <c r="F45" s="214">
        <v>0.8</v>
      </c>
      <c r="G45" s="2">
        <f t="shared" si="0"/>
        <v>0.70499999999999996</v>
      </c>
      <c r="H45" s="56">
        <f t="shared" si="1"/>
        <v>3.0550000000000002</v>
      </c>
      <c r="I45" s="9">
        <f t="shared" si="2"/>
        <v>0.64155000000000006</v>
      </c>
      <c r="J45" s="57">
        <f t="shared" si="3"/>
        <v>3.6965500000000002</v>
      </c>
      <c r="L45" s="153">
        <f t="shared" si="4"/>
        <v>1.8800000000000001</v>
      </c>
      <c r="M45" s="56">
        <f t="shared" si="5"/>
        <v>4.2300000000000004</v>
      </c>
      <c r="N45" s="9">
        <f t="shared" si="6"/>
        <v>0.88830000000000009</v>
      </c>
      <c r="O45" s="57">
        <f t="shared" si="7"/>
        <v>5.1183000000000005</v>
      </c>
    </row>
    <row r="46" spans="1:15" x14ac:dyDescent="0.3">
      <c r="A46" s="51" t="s">
        <v>343</v>
      </c>
      <c r="B46" s="52" t="s">
        <v>1712</v>
      </c>
      <c r="C46" s="53" t="s">
        <v>1655</v>
      </c>
      <c r="D46" s="54">
        <v>1.01</v>
      </c>
      <c r="E46" s="55">
        <v>0.3</v>
      </c>
      <c r="F46" s="214">
        <v>0.8</v>
      </c>
      <c r="G46" s="2">
        <f t="shared" si="0"/>
        <v>0.30299999999999999</v>
      </c>
      <c r="H46" s="56">
        <f t="shared" si="1"/>
        <v>1.3129999999999999</v>
      </c>
      <c r="I46" s="9">
        <f t="shared" si="2"/>
        <v>0.27572999999999998</v>
      </c>
      <c r="J46" s="57">
        <f t="shared" si="3"/>
        <v>1.58873</v>
      </c>
      <c r="L46" s="153">
        <f t="shared" si="4"/>
        <v>0.80800000000000005</v>
      </c>
      <c r="M46" s="56">
        <f t="shared" si="5"/>
        <v>1.8180000000000001</v>
      </c>
      <c r="N46" s="9">
        <f t="shared" si="6"/>
        <v>0.38178000000000001</v>
      </c>
      <c r="O46" s="57">
        <f t="shared" si="7"/>
        <v>2.1997800000000001</v>
      </c>
    </row>
    <row r="47" spans="1:15" x14ac:dyDescent="0.3">
      <c r="A47" s="51" t="s">
        <v>344</v>
      </c>
      <c r="B47" s="52" t="s">
        <v>1713</v>
      </c>
      <c r="C47" s="53" t="s">
        <v>1655</v>
      </c>
      <c r="D47" s="54">
        <v>2.31</v>
      </c>
      <c r="E47" s="55">
        <v>0.3</v>
      </c>
      <c r="F47" s="214">
        <v>0.8</v>
      </c>
      <c r="G47" s="2">
        <f t="shared" si="0"/>
        <v>0.69299999999999995</v>
      </c>
      <c r="H47" s="56">
        <f t="shared" si="1"/>
        <v>3.0030000000000001</v>
      </c>
      <c r="I47" s="9">
        <f t="shared" si="2"/>
        <v>0.63063000000000002</v>
      </c>
      <c r="J47" s="57">
        <f t="shared" si="3"/>
        <v>3.6336300000000001</v>
      </c>
      <c r="L47" s="153">
        <f t="shared" si="4"/>
        <v>1.8480000000000001</v>
      </c>
      <c r="M47" s="56">
        <f t="shared" si="5"/>
        <v>4.1580000000000004</v>
      </c>
      <c r="N47" s="9">
        <f t="shared" si="6"/>
        <v>0.87318000000000007</v>
      </c>
      <c r="O47" s="57">
        <f t="shared" si="7"/>
        <v>5.0311800000000009</v>
      </c>
    </row>
    <row r="48" spans="1:15" x14ac:dyDescent="0.3">
      <c r="A48" s="51" t="s">
        <v>345</v>
      </c>
      <c r="B48" s="52" t="s">
        <v>1714</v>
      </c>
      <c r="C48" s="53" t="s">
        <v>1655</v>
      </c>
      <c r="D48" s="54">
        <v>1.55</v>
      </c>
      <c r="E48" s="55">
        <v>0.3</v>
      </c>
      <c r="F48" s="214">
        <v>0.8</v>
      </c>
      <c r="G48" s="2">
        <f t="shared" si="0"/>
        <v>0.46499999999999997</v>
      </c>
      <c r="H48" s="56">
        <f t="shared" si="1"/>
        <v>2.0150000000000001</v>
      </c>
      <c r="I48" s="9">
        <f t="shared" si="2"/>
        <v>0.42315000000000003</v>
      </c>
      <c r="J48" s="57">
        <f t="shared" si="3"/>
        <v>2.4381500000000003</v>
      </c>
      <c r="L48" s="153">
        <f t="shared" si="4"/>
        <v>1.2400000000000002</v>
      </c>
      <c r="M48" s="56">
        <f t="shared" si="5"/>
        <v>2.79</v>
      </c>
      <c r="N48" s="9">
        <f t="shared" si="6"/>
        <v>0.58589999999999998</v>
      </c>
      <c r="O48" s="57">
        <f t="shared" si="7"/>
        <v>3.3759000000000001</v>
      </c>
    </row>
    <row r="49" spans="1:15" x14ac:dyDescent="0.3">
      <c r="A49" s="51" t="s">
        <v>346</v>
      </c>
      <c r="B49" s="52" t="s">
        <v>1715</v>
      </c>
      <c r="C49" s="53" t="s">
        <v>1655</v>
      </c>
      <c r="D49" s="54">
        <v>1.57</v>
      </c>
      <c r="E49" s="55">
        <v>0.3</v>
      </c>
      <c r="F49" s="214">
        <v>0.8</v>
      </c>
      <c r="G49" s="2">
        <f t="shared" si="0"/>
        <v>0.47099999999999997</v>
      </c>
      <c r="H49" s="56">
        <f t="shared" si="1"/>
        <v>2.0409999999999999</v>
      </c>
      <c r="I49" s="9">
        <f t="shared" si="2"/>
        <v>0.42860999999999999</v>
      </c>
      <c r="J49" s="57">
        <f t="shared" si="3"/>
        <v>2.4696099999999999</v>
      </c>
      <c r="L49" s="153">
        <f t="shared" si="4"/>
        <v>1.2560000000000002</v>
      </c>
      <c r="M49" s="56">
        <f t="shared" si="5"/>
        <v>2.8260000000000005</v>
      </c>
      <c r="N49" s="9">
        <f t="shared" si="6"/>
        <v>0.5934600000000001</v>
      </c>
      <c r="O49" s="57">
        <f t="shared" si="7"/>
        <v>3.4194600000000008</v>
      </c>
    </row>
    <row r="50" spans="1:15" x14ac:dyDescent="0.3">
      <c r="A50" s="51" t="s">
        <v>347</v>
      </c>
      <c r="B50" s="52" t="s">
        <v>1710</v>
      </c>
      <c r="C50" s="53" t="s">
        <v>1655</v>
      </c>
      <c r="D50" s="54">
        <v>1.95</v>
      </c>
      <c r="E50" s="55">
        <v>0.3</v>
      </c>
      <c r="F50" s="214">
        <v>0.8</v>
      </c>
      <c r="G50" s="2">
        <f t="shared" si="0"/>
        <v>0.58499999999999996</v>
      </c>
      <c r="H50" s="56">
        <f t="shared" si="1"/>
        <v>2.5350000000000001</v>
      </c>
      <c r="I50" s="9">
        <f t="shared" si="2"/>
        <v>0.53234999999999999</v>
      </c>
      <c r="J50" s="57">
        <f t="shared" si="3"/>
        <v>3.0673500000000002</v>
      </c>
      <c r="L50" s="153">
        <f t="shared" si="4"/>
        <v>1.56</v>
      </c>
      <c r="M50" s="56">
        <f t="shared" si="5"/>
        <v>3.51</v>
      </c>
      <c r="N50" s="9">
        <f t="shared" si="6"/>
        <v>0.73709999999999998</v>
      </c>
      <c r="O50" s="57">
        <f t="shared" si="7"/>
        <v>4.2470999999999997</v>
      </c>
    </row>
    <row r="51" spans="1:15" x14ac:dyDescent="0.3">
      <c r="A51" s="51" t="s">
        <v>348</v>
      </c>
      <c r="B51" s="52" t="s">
        <v>1716</v>
      </c>
      <c r="C51" s="53" t="s">
        <v>1655</v>
      </c>
      <c r="D51" s="54">
        <v>1.29</v>
      </c>
      <c r="E51" s="55">
        <v>0.3</v>
      </c>
      <c r="F51" s="214">
        <v>0.8</v>
      </c>
      <c r="G51" s="2">
        <f t="shared" si="0"/>
        <v>0.38700000000000001</v>
      </c>
      <c r="H51" s="56">
        <f t="shared" si="1"/>
        <v>1.677</v>
      </c>
      <c r="I51" s="9">
        <f t="shared" si="2"/>
        <v>0.35216999999999998</v>
      </c>
      <c r="J51" s="57">
        <f t="shared" si="3"/>
        <v>2.0291700000000001</v>
      </c>
      <c r="L51" s="153">
        <f t="shared" si="4"/>
        <v>1.032</v>
      </c>
      <c r="M51" s="56">
        <f t="shared" si="5"/>
        <v>2.3220000000000001</v>
      </c>
      <c r="N51" s="9">
        <f t="shared" si="6"/>
        <v>0.48762</v>
      </c>
      <c r="O51" s="57">
        <f t="shared" si="7"/>
        <v>2.8096200000000002</v>
      </c>
    </row>
    <row r="52" spans="1:15" x14ac:dyDescent="0.3">
      <c r="A52" s="51" t="s">
        <v>349</v>
      </c>
      <c r="B52" s="52" t="s">
        <v>1717</v>
      </c>
      <c r="C52" s="53" t="s">
        <v>1655</v>
      </c>
      <c r="D52" s="54">
        <v>1.35</v>
      </c>
      <c r="E52" s="55">
        <v>0.3</v>
      </c>
      <c r="F52" s="214">
        <v>0.8</v>
      </c>
      <c r="G52" s="2">
        <f t="shared" si="0"/>
        <v>0.40500000000000003</v>
      </c>
      <c r="H52" s="56">
        <f t="shared" si="1"/>
        <v>1.7550000000000001</v>
      </c>
      <c r="I52" s="9">
        <f t="shared" si="2"/>
        <v>0.36854999999999999</v>
      </c>
      <c r="J52" s="57">
        <f t="shared" si="3"/>
        <v>2.1235500000000003</v>
      </c>
      <c r="L52" s="153">
        <f t="shared" si="4"/>
        <v>1.08</v>
      </c>
      <c r="M52" s="56">
        <f t="shared" si="5"/>
        <v>2.4300000000000002</v>
      </c>
      <c r="N52" s="9">
        <f t="shared" si="6"/>
        <v>0.51029999999999998</v>
      </c>
      <c r="O52" s="57">
        <f t="shared" si="7"/>
        <v>2.9403000000000001</v>
      </c>
    </row>
    <row r="53" spans="1:15" x14ac:dyDescent="0.3">
      <c r="A53" s="51" t="s">
        <v>350</v>
      </c>
      <c r="B53" s="52" t="s">
        <v>1718</v>
      </c>
      <c r="C53" s="53" t="s">
        <v>1655</v>
      </c>
      <c r="D53" s="54">
        <v>1.0900000000000001</v>
      </c>
      <c r="E53" s="55">
        <v>0.3</v>
      </c>
      <c r="F53" s="214">
        <v>0.8</v>
      </c>
      <c r="G53" s="2">
        <f t="shared" si="0"/>
        <v>0.32700000000000001</v>
      </c>
      <c r="H53" s="56">
        <f t="shared" si="1"/>
        <v>1.417</v>
      </c>
      <c r="I53" s="9">
        <f t="shared" si="2"/>
        <v>0.29757</v>
      </c>
      <c r="J53" s="57">
        <f t="shared" si="3"/>
        <v>1.7145700000000001</v>
      </c>
      <c r="L53" s="153">
        <f t="shared" si="4"/>
        <v>0.87200000000000011</v>
      </c>
      <c r="M53" s="56">
        <f t="shared" si="5"/>
        <v>1.9620000000000002</v>
      </c>
      <c r="N53" s="9">
        <f t="shared" si="6"/>
        <v>0.41202</v>
      </c>
      <c r="O53" s="57">
        <f t="shared" si="7"/>
        <v>2.3740200000000002</v>
      </c>
    </row>
    <row r="54" spans="1:15" x14ac:dyDescent="0.3">
      <c r="A54" s="51" t="s">
        <v>351</v>
      </c>
      <c r="B54" s="52" t="s">
        <v>1719</v>
      </c>
      <c r="C54" s="53" t="s">
        <v>1655</v>
      </c>
      <c r="D54" s="54">
        <v>1.47</v>
      </c>
      <c r="E54" s="55">
        <v>0.3</v>
      </c>
      <c r="F54" s="214">
        <v>0.8</v>
      </c>
      <c r="G54" s="2">
        <f t="shared" si="0"/>
        <v>0.441</v>
      </c>
      <c r="H54" s="56">
        <f t="shared" si="1"/>
        <v>1.911</v>
      </c>
      <c r="I54" s="9">
        <f t="shared" si="2"/>
        <v>0.40131</v>
      </c>
      <c r="J54" s="57">
        <f t="shared" si="3"/>
        <v>2.3123100000000001</v>
      </c>
      <c r="L54" s="153">
        <f t="shared" si="4"/>
        <v>1.1759999999999999</v>
      </c>
      <c r="M54" s="56">
        <f t="shared" si="5"/>
        <v>2.6459999999999999</v>
      </c>
      <c r="N54" s="9">
        <f t="shared" si="6"/>
        <v>0.55565999999999993</v>
      </c>
      <c r="O54" s="57">
        <f t="shared" si="7"/>
        <v>3.20166</v>
      </c>
    </row>
    <row r="55" spans="1:15" x14ac:dyDescent="0.3">
      <c r="A55" s="51" t="s">
        <v>352</v>
      </c>
      <c r="B55" s="52" t="s">
        <v>1720</v>
      </c>
      <c r="C55" s="53" t="s">
        <v>1655</v>
      </c>
      <c r="D55" s="54">
        <v>1.07</v>
      </c>
      <c r="E55" s="55">
        <v>0.3</v>
      </c>
      <c r="F55" s="214">
        <v>0.8</v>
      </c>
      <c r="G55" s="2">
        <f t="shared" si="0"/>
        <v>0.32100000000000001</v>
      </c>
      <c r="H55" s="56">
        <f t="shared" si="1"/>
        <v>1.391</v>
      </c>
      <c r="I55" s="9">
        <f t="shared" si="2"/>
        <v>0.29210999999999998</v>
      </c>
      <c r="J55" s="57">
        <f t="shared" si="3"/>
        <v>1.6831100000000001</v>
      </c>
      <c r="L55" s="153">
        <f t="shared" si="4"/>
        <v>0.85600000000000009</v>
      </c>
      <c r="M55" s="56">
        <f t="shared" si="5"/>
        <v>1.9260000000000002</v>
      </c>
      <c r="N55" s="9">
        <f t="shared" si="6"/>
        <v>0.40446000000000004</v>
      </c>
      <c r="O55" s="57">
        <f t="shared" si="7"/>
        <v>2.3304600000000004</v>
      </c>
    </row>
    <row r="56" spans="1:15" x14ac:dyDescent="0.3">
      <c r="A56" s="51" t="s">
        <v>353</v>
      </c>
      <c r="B56" s="52" t="s">
        <v>1721</v>
      </c>
      <c r="C56" s="53" t="s">
        <v>1655</v>
      </c>
      <c r="D56" s="54">
        <v>0.95</v>
      </c>
      <c r="E56" s="55">
        <v>0.3</v>
      </c>
      <c r="F56" s="214">
        <v>0.8</v>
      </c>
      <c r="G56" s="2">
        <f t="shared" si="0"/>
        <v>0.28499999999999998</v>
      </c>
      <c r="H56" s="56">
        <f t="shared" si="1"/>
        <v>1.2349999999999999</v>
      </c>
      <c r="I56" s="9">
        <f t="shared" si="2"/>
        <v>0.25934999999999997</v>
      </c>
      <c r="J56" s="57">
        <f t="shared" si="3"/>
        <v>1.4943499999999998</v>
      </c>
      <c r="L56" s="153">
        <f t="shared" si="4"/>
        <v>0.76</v>
      </c>
      <c r="M56" s="56">
        <f t="shared" si="5"/>
        <v>1.71</v>
      </c>
      <c r="N56" s="9">
        <f t="shared" si="6"/>
        <v>0.35909999999999997</v>
      </c>
      <c r="O56" s="57">
        <f t="shared" si="7"/>
        <v>2.0690999999999997</v>
      </c>
    </row>
    <row r="57" spans="1:15" x14ac:dyDescent="0.3">
      <c r="A57" s="51" t="s">
        <v>1722</v>
      </c>
      <c r="B57" s="52" t="s">
        <v>1723</v>
      </c>
      <c r="C57" s="53" t="s">
        <v>1655</v>
      </c>
      <c r="D57" s="54">
        <v>0.49</v>
      </c>
      <c r="E57" s="55">
        <v>0.3</v>
      </c>
      <c r="F57" s="214">
        <v>0.8</v>
      </c>
      <c r="G57" s="2">
        <f t="shared" si="0"/>
        <v>0.14699999999999999</v>
      </c>
      <c r="H57" s="56">
        <f t="shared" si="1"/>
        <v>0.63700000000000001</v>
      </c>
      <c r="I57" s="9">
        <f t="shared" si="2"/>
        <v>0.13377</v>
      </c>
      <c r="J57" s="57">
        <f t="shared" si="3"/>
        <v>0.77076999999999996</v>
      </c>
      <c r="L57" s="153">
        <f t="shared" si="4"/>
        <v>0.39200000000000002</v>
      </c>
      <c r="M57" s="56">
        <f t="shared" si="5"/>
        <v>0.88200000000000001</v>
      </c>
      <c r="N57" s="9">
        <f t="shared" si="6"/>
        <v>0.18522</v>
      </c>
      <c r="O57" s="57">
        <f t="shared" si="7"/>
        <v>1.0672200000000001</v>
      </c>
    </row>
    <row r="58" spans="1:15" x14ac:dyDescent="0.3">
      <c r="A58" s="51" t="s">
        <v>1724</v>
      </c>
      <c r="B58" s="52" t="s">
        <v>1725</v>
      </c>
      <c r="C58" s="53" t="s">
        <v>1655</v>
      </c>
      <c r="D58" s="54">
        <v>1.97</v>
      </c>
      <c r="E58" s="55">
        <v>0.3</v>
      </c>
      <c r="F58" s="214">
        <v>0.8</v>
      </c>
      <c r="G58" s="2">
        <f t="shared" si="0"/>
        <v>0.59099999999999997</v>
      </c>
      <c r="H58" s="56">
        <f t="shared" si="1"/>
        <v>2.5609999999999999</v>
      </c>
      <c r="I58" s="9">
        <f t="shared" si="2"/>
        <v>0.53781000000000001</v>
      </c>
      <c r="J58" s="57">
        <f t="shared" si="3"/>
        <v>3.0988099999999998</v>
      </c>
      <c r="L58" s="153">
        <f t="shared" si="4"/>
        <v>1.5760000000000001</v>
      </c>
      <c r="M58" s="56">
        <f t="shared" si="5"/>
        <v>3.5460000000000003</v>
      </c>
      <c r="N58" s="9">
        <f t="shared" si="6"/>
        <v>0.74465999999999999</v>
      </c>
      <c r="O58" s="57">
        <f t="shared" si="7"/>
        <v>4.2906599999999999</v>
      </c>
    </row>
    <row r="59" spans="1:15" x14ac:dyDescent="0.3">
      <c r="A59" s="51" t="s">
        <v>1726</v>
      </c>
      <c r="B59" s="52" t="s">
        <v>1727</v>
      </c>
      <c r="C59" s="53" t="s">
        <v>1655</v>
      </c>
      <c r="D59" s="54">
        <v>0.79</v>
      </c>
      <c r="E59" s="55">
        <v>0.3</v>
      </c>
      <c r="F59" s="214">
        <v>0.8</v>
      </c>
      <c r="G59" s="2">
        <f t="shared" si="0"/>
        <v>0.23699999999999999</v>
      </c>
      <c r="H59" s="56">
        <f t="shared" si="1"/>
        <v>1.0270000000000001</v>
      </c>
      <c r="I59" s="9">
        <f t="shared" si="2"/>
        <v>0.21567000000000003</v>
      </c>
      <c r="J59" s="57">
        <f t="shared" si="3"/>
        <v>1.2426700000000002</v>
      </c>
      <c r="L59" s="153">
        <f t="shared" si="4"/>
        <v>0.63200000000000012</v>
      </c>
      <c r="M59" s="56">
        <f t="shared" si="5"/>
        <v>1.4220000000000002</v>
      </c>
      <c r="N59" s="9">
        <f t="shared" si="6"/>
        <v>0.29862</v>
      </c>
      <c r="O59" s="57">
        <f t="shared" si="7"/>
        <v>1.7206200000000003</v>
      </c>
    </row>
    <row r="60" spans="1:15" x14ac:dyDescent="0.3">
      <c r="A60" s="51" t="s">
        <v>1728</v>
      </c>
      <c r="B60" s="52" t="s">
        <v>1729</v>
      </c>
      <c r="C60" s="53" t="s">
        <v>1655</v>
      </c>
      <c r="D60" s="54">
        <v>1.1499999999999999</v>
      </c>
      <c r="E60" s="55">
        <v>0.3</v>
      </c>
      <c r="F60" s="214">
        <v>0.8</v>
      </c>
      <c r="G60" s="2">
        <f t="shared" si="0"/>
        <v>0.34499999999999997</v>
      </c>
      <c r="H60" s="56">
        <f t="shared" si="1"/>
        <v>1.4949999999999999</v>
      </c>
      <c r="I60" s="9">
        <f t="shared" si="2"/>
        <v>0.31394999999999995</v>
      </c>
      <c r="J60" s="57">
        <f t="shared" si="3"/>
        <v>1.8089499999999998</v>
      </c>
      <c r="L60" s="153">
        <f t="shared" si="4"/>
        <v>0.91999999999999993</v>
      </c>
      <c r="M60" s="56">
        <f t="shared" si="5"/>
        <v>2.0699999999999998</v>
      </c>
      <c r="N60" s="9">
        <f t="shared" si="6"/>
        <v>0.43469999999999998</v>
      </c>
      <c r="O60" s="57">
        <f t="shared" si="7"/>
        <v>2.5046999999999997</v>
      </c>
    </row>
    <row r="61" spans="1:15" x14ac:dyDescent="0.3">
      <c r="A61" s="51" t="s">
        <v>1730</v>
      </c>
      <c r="B61" s="52" t="s">
        <v>1731</v>
      </c>
      <c r="C61" s="53" t="s">
        <v>1655</v>
      </c>
      <c r="D61" s="54">
        <v>1.53</v>
      </c>
      <c r="E61" s="55">
        <v>0.3</v>
      </c>
      <c r="F61" s="214">
        <v>0.8</v>
      </c>
      <c r="G61" s="2">
        <f t="shared" si="0"/>
        <v>0.45899999999999996</v>
      </c>
      <c r="H61" s="56">
        <f t="shared" si="1"/>
        <v>1.9889999999999999</v>
      </c>
      <c r="I61" s="9">
        <f t="shared" si="2"/>
        <v>0.41768999999999995</v>
      </c>
      <c r="J61" s="57">
        <f t="shared" si="3"/>
        <v>2.4066899999999998</v>
      </c>
      <c r="L61" s="153">
        <f t="shared" si="4"/>
        <v>1.2240000000000002</v>
      </c>
      <c r="M61" s="56">
        <f t="shared" si="5"/>
        <v>2.7540000000000004</v>
      </c>
      <c r="N61" s="9">
        <f t="shared" si="6"/>
        <v>0.57834000000000008</v>
      </c>
      <c r="O61" s="57">
        <f t="shared" si="7"/>
        <v>3.3323400000000003</v>
      </c>
    </row>
    <row r="62" spans="1:15" x14ac:dyDescent="0.3">
      <c r="A62" s="51" t="s">
        <v>1732</v>
      </c>
      <c r="B62" s="52" t="s">
        <v>1733</v>
      </c>
      <c r="C62" s="53" t="s">
        <v>1655</v>
      </c>
      <c r="D62" s="54">
        <v>0.99</v>
      </c>
      <c r="E62" s="55">
        <v>0.3</v>
      </c>
      <c r="F62" s="214">
        <v>0.8</v>
      </c>
      <c r="G62" s="2">
        <f t="shared" si="0"/>
        <v>0.29699999999999999</v>
      </c>
      <c r="H62" s="56">
        <f t="shared" si="1"/>
        <v>1.2869999999999999</v>
      </c>
      <c r="I62" s="9">
        <f t="shared" si="2"/>
        <v>0.27026999999999995</v>
      </c>
      <c r="J62" s="57">
        <f t="shared" si="3"/>
        <v>1.5572699999999999</v>
      </c>
      <c r="L62" s="153">
        <f t="shared" si="4"/>
        <v>0.79200000000000004</v>
      </c>
      <c r="M62" s="56">
        <f t="shared" si="5"/>
        <v>1.782</v>
      </c>
      <c r="N62" s="9">
        <f t="shared" si="6"/>
        <v>0.37422</v>
      </c>
      <c r="O62" s="57">
        <f t="shared" si="7"/>
        <v>2.1562200000000002</v>
      </c>
    </row>
    <row r="63" spans="1:15" x14ac:dyDescent="0.3">
      <c r="A63" s="51" t="s">
        <v>1734</v>
      </c>
      <c r="B63" s="52" t="s">
        <v>1735</v>
      </c>
      <c r="C63" s="53" t="s">
        <v>1655</v>
      </c>
      <c r="D63" s="54">
        <v>2.33</v>
      </c>
      <c r="E63" s="55">
        <v>0.3</v>
      </c>
      <c r="F63" s="214">
        <v>0.8</v>
      </c>
      <c r="G63" s="2">
        <f t="shared" si="0"/>
        <v>0.69899999999999995</v>
      </c>
      <c r="H63" s="56">
        <f t="shared" si="1"/>
        <v>3.0289999999999999</v>
      </c>
      <c r="I63" s="9">
        <f t="shared" si="2"/>
        <v>0.63608999999999993</v>
      </c>
      <c r="J63" s="57">
        <f t="shared" si="3"/>
        <v>3.6650899999999997</v>
      </c>
      <c r="L63" s="153">
        <f t="shared" si="4"/>
        <v>1.8640000000000001</v>
      </c>
      <c r="M63" s="56">
        <f t="shared" si="5"/>
        <v>4.194</v>
      </c>
      <c r="N63" s="9">
        <f t="shared" si="6"/>
        <v>0.88073999999999997</v>
      </c>
      <c r="O63" s="57">
        <f t="shared" si="7"/>
        <v>5.0747400000000003</v>
      </c>
    </row>
    <row r="64" spans="1:15" x14ac:dyDescent="0.3">
      <c r="A64" s="51" t="s">
        <v>1736</v>
      </c>
      <c r="B64" s="52" t="s">
        <v>1737</v>
      </c>
      <c r="C64" s="53" t="s">
        <v>1655</v>
      </c>
      <c r="D64" s="54">
        <v>0.63</v>
      </c>
      <c r="E64" s="55">
        <v>0.3</v>
      </c>
      <c r="F64" s="214">
        <v>0.8</v>
      </c>
      <c r="G64" s="2">
        <f t="shared" si="0"/>
        <v>0.189</v>
      </c>
      <c r="H64" s="56">
        <f t="shared" si="1"/>
        <v>0.81899999999999995</v>
      </c>
      <c r="I64" s="9">
        <f t="shared" si="2"/>
        <v>0.17198999999999998</v>
      </c>
      <c r="J64" s="57">
        <f t="shared" si="3"/>
        <v>0.99098999999999993</v>
      </c>
      <c r="L64" s="153">
        <f t="shared" si="4"/>
        <v>0.504</v>
      </c>
      <c r="M64" s="56">
        <f t="shared" si="5"/>
        <v>1.1339999999999999</v>
      </c>
      <c r="N64" s="9">
        <f t="shared" si="6"/>
        <v>0.23813999999999996</v>
      </c>
      <c r="O64" s="57">
        <f t="shared" si="7"/>
        <v>1.3721399999999999</v>
      </c>
    </row>
    <row r="65" spans="1:15" ht="13.8" customHeight="1" x14ac:dyDescent="0.3">
      <c r="A65" s="51" t="s">
        <v>1738</v>
      </c>
      <c r="B65" s="52" t="s">
        <v>1739</v>
      </c>
      <c r="C65" s="53" t="s">
        <v>1655</v>
      </c>
      <c r="D65" s="54">
        <v>2.11</v>
      </c>
      <c r="E65" s="55">
        <v>0.3</v>
      </c>
      <c r="F65" s="214">
        <v>0.8</v>
      </c>
      <c r="G65" s="2">
        <f t="shared" si="0"/>
        <v>0.6329999999999999</v>
      </c>
      <c r="H65" s="56">
        <f t="shared" si="1"/>
        <v>2.7429999999999999</v>
      </c>
      <c r="I65" s="9">
        <f t="shared" si="2"/>
        <v>0.57602999999999993</v>
      </c>
      <c r="J65" s="57">
        <f t="shared" si="3"/>
        <v>3.3190299999999997</v>
      </c>
      <c r="L65" s="153">
        <f t="shared" si="4"/>
        <v>1.6879999999999999</v>
      </c>
      <c r="M65" s="56">
        <f t="shared" si="5"/>
        <v>3.798</v>
      </c>
      <c r="N65" s="9">
        <f t="shared" si="6"/>
        <v>0.79757999999999996</v>
      </c>
      <c r="O65" s="57">
        <f t="shared" si="7"/>
        <v>4.59558</v>
      </c>
    </row>
    <row r="66" spans="1:15" x14ac:dyDescent="0.3">
      <c r="A66" s="51" t="s">
        <v>1740</v>
      </c>
      <c r="B66" s="52" t="s">
        <v>1741</v>
      </c>
      <c r="C66" s="53" t="s">
        <v>1655</v>
      </c>
      <c r="D66" s="54">
        <v>1.41</v>
      </c>
      <c r="E66" s="55">
        <v>0.3</v>
      </c>
      <c r="F66" s="214">
        <v>0.8</v>
      </c>
      <c r="G66" s="2">
        <f t="shared" si="0"/>
        <v>0.42299999999999999</v>
      </c>
      <c r="H66" s="56">
        <f t="shared" si="1"/>
        <v>1.833</v>
      </c>
      <c r="I66" s="9">
        <f t="shared" si="2"/>
        <v>0.38492999999999999</v>
      </c>
      <c r="J66" s="57">
        <f t="shared" si="3"/>
        <v>2.21793</v>
      </c>
      <c r="L66" s="153">
        <f t="shared" si="4"/>
        <v>1.1279999999999999</v>
      </c>
      <c r="M66" s="56">
        <f t="shared" si="5"/>
        <v>2.5379999999999998</v>
      </c>
      <c r="N66" s="9">
        <f t="shared" si="6"/>
        <v>0.5329799999999999</v>
      </c>
      <c r="O66" s="57">
        <f t="shared" si="7"/>
        <v>3.0709799999999996</v>
      </c>
    </row>
    <row r="67" spans="1:15" x14ac:dyDescent="0.3">
      <c r="A67" s="51" t="s">
        <v>1742</v>
      </c>
      <c r="B67" s="52" t="s">
        <v>1743</v>
      </c>
      <c r="C67" s="53" t="s">
        <v>1655</v>
      </c>
      <c r="D67" s="54">
        <v>1.1299999999999999</v>
      </c>
      <c r="E67" s="55">
        <v>0.3</v>
      </c>
      <c r="F67" s="214">
        <v>0.8</v>
      </c>
      <c r="G67" s="2">
        <f t="shared" si="0"/>
        <v>0.33899999999999997</v>
      </c>
      <c r="H67" s="56">
        <f t="shared" si="1"/>
        <v>1.4689999999999999</v>
      </c>
      <c r="I67" s="9">
        <f t="shared" si="2"/>
        <v>0.30848999999999999</v>
      </c>
      <c r="J67" s="57">
        <f t="shared" si="3"/>
        <v>1.7774899999999998</v>
      </c>
      <c r="L67" s="153">
        <f t="shared" si="4"/>
        <v>0.90399999999999991</v>
      </c>
      <c r="M67" s="56">
        <f t="shared" si="5"/>
        <v>2.0339999999999998</v>
      </c>
      <c r="N67" s="9">
        <f t="shared" si="6"/>
        <v>0.42713999999999996</v>
      </c>
      <c r="O67" s="57">
        <f t="shared" si="7"/>
        <v>2.4611399999999999</v>
      </c>
    </row>
    <row r="68" spans="1:15" x14ac:dyDescent="0.3">
      <c r="A68" s="51" t="s">
        <v>1744</v>
      </c>
      <c r="B68" s="52" t="s">
        <v>1745</v>
      </c>
      <c r="C68" s="53" t="s">
        <v>1655</v>
      </c>
      <c r="D68" s="54">
        <v>0.89</v>
      </c>
      <c r="E68" s="55">
        <v>0.3</v>
      </c>
      <c r="F68" s="214">
        <v>0.8</v>
      </c>
      <c r="G68" s="2">
        <f t="shared" si="0"/>
        <v>0.26700000000000002</v>
      </c>
      <c r="H68" s="56">
        <f t="shared" si="1"/>
        <v>1.157</v>
      </c>
      <c r="I68" s="9">
        <f t="shared" si="2"/>
        <v>0.24296999999999999</v>
      </c>
      <c r="J68" s="57">
        <f t="shared" si="3"/>
        <v>1.3999699999999999</v>
      </c>
      <c r="L68" s="153">
        <f t="shared" si="4"/>
        <v>0.71200000000000008</v>
      </c>
      <c r="M68" s="56">
        <f t="shared" si="5"/>
        <v>1.6020000000000001</v>
      </c>
      <c r="N68" s="9">
        <f t="shared" si="6"/>
        <v>0.33642</v>
      </c>
      <c r="O68" s="57">
        <f t="shared" si="7"/>
        <v>1.93842</v>
      </c>
    </row>
    <row r="69" spans="1:15" x14ac:dyDescent="0.3">
      <c r="A69" s="51" t="s">
        <v>1746</v>
      </c>
      <c r="B69" s="52" t="s">
        <v>1747</v>
      </c>
      <c r="C69" s="53" t="s">
        <v>1655</v>
      </c>
      <c r="D69" s="54">
        <v>1.43</v>
      </c>
      <c r="E69" s="55">
        <v>0.3</v>
      </c>
      <c r="F69" s="214">
        <v>0.8</v>
      </c>
      <c r="G69" s="2">
        <f t="shared" si="0"/>
        <v>0.42899999999999999</v>
      </c>
      <c r="H69" s="56">
        <f t="shared" si="1"/>
        <v>1.859</v>
      </c>
      <c r="I69" s="9">
        <f t="shared" si="2"/>
        <v>0.39038999999999996</v>
      </c>
      <c r="J69" s="57">
        <f t="shared" si="3"/>
        <v>2.24939</v>
      </c>
      <c r="L69" s="153">
        <f t="shared" si="4"/>
        <v>1.1439999999999999</v>
      </c>
      <c r="M69" s="56">
        <f t="shared" si="5"/>
        <v>2.5739999999999998</v>
      </c>
      <c r="N69" s="9">
        <f t="shared" si="6"/>
        <v>0.54053999999999991</v>
      </c>
      <c r="O69" s="57">
        <f t="shared" si="7"/>
        <v>3.1145399999999999</v>
      </c>
    </row>
    <row r="70" spans="1:15" x14ac:dyDescent="0.3">
      <c r="A70" s="51" t="s">
        <v>1748</v>
      </c>
      <c r="B70" s="52" t="s">
        <v>1749</v>
      </c>
      <c r="C70" s="53" t="s">
        <v>1655</v>
      </c>
      <c r="D70" s="54">
        <v>0.91</v>
      </c>
      <c r="E70" s="55">
        <v>0.3</v>
      </c>
      <c r="F70" s="214">
        <v>0.8</v>
      </c>
      <c r="G70" s="2">
        <f t="shared" si="0"/>
        <v>0.27300000000000002</v>
      </c>
      <c r="H70" s="56">
        <f t="shared" si="1"/>
        <v>1.1830000000000001</v>
      </c>
      <c r="I70" s="9">
        <f t="shared" si="2"/>
        <v>0.24843000000000001</v>
      </c>
      <c r="J70" s="57">
        <f t="shared" si="3"/>
        <v>1.43143</v>
      </c>
      <c r="L70" s="153">
        <f t="shared" si="4"/>
        <v>0.72800000000000009</v>
      </c>
      <c r="M70" s="56">
        <f t="shared" si="5"/>
        <v>1.6380000000000001</v>
      </c>
      <c r="N70" s="9">
        <f t="shared" si="6"/>
        <v>0.34398000000000001</v>
      </c>
      <c r="O70" s="57">
        <f t="shared" si="7"/>
        <v>1.9819800000000001</v>
      </c>
    </row>
    <row r="71" spans="1:15" x14ac:dyDescent="0.3">
      <c r="A71" s="51" t="s">
        <v>1750</v>
      </c>
      <c r="B71" s="52" t="s">
        <v>1751</v>
      </c>
      <c r="C71" s="53" t="s">
        <v>1655</v>
      </c>
      <c r="D71" s="54">
        <v>0.75</v>
      </c>
      <c r="E71" s="55">
        <v>0.3</v>
      </c>
      <c r="F71" s="214">
        <v>0.8</v>
      </c>
      <c r="G71" s="2">
        <f t="shared" si="0"/>
        <v>0.22499999999999998</v>
      </c>
      <c r="H71" s="56">
        <f t="shared" si="1"/>
        <v>0.97499999999999998</v>
      </c>
      <c r="I71" s="9">
        <f t="shared" si="2"/>
        <v>0.20474999999999999</v>
      </c>
      <c r="J71" s="57">
        <f t="shared" si="3"/>
        <v>1.1797499999999999</v>
      </c>
      <c r="L71" s="153">
        <f t="shared" si="4"/>
        <v>0.60000000000000009</v>
      </c>
      <c r="M71" s="56">
        <f t="shared" si="5"/>
        <v>1.35</v>
      </c>
      <c r="N71" s="9">
        <f t="shared" si="6"/>
        <v>0.28350000000000003</v>
      </c>
      <c r="O71" s="57">
        <f t="shared" si="7"/>
        <v>1.6335000000000002</v>
      </c>
    </row>
    <row r="72" spans="1:15" x14ac:dyDescent="0.3">
      <c r="A72" s="51" t="s">
        <v>1752</v>
      </c>
      <c r="B72" s="52" t="s">
        <v>1753</v>
      </c>
      <c r="C72" s="53" t="s">
        <v>1655</v>
      </c>
      <c r="D72" s="54">
        <v>1.99</v>
      </c>
      <c r="E72" s="55">
        <v>0.3</v>
      </c>
      <c r="F72" s="214">
        <v>0.8</v>
      </c>
      <c r="G72" s="2">
        <f t="shared" si="0"/>
        <v>0.59699999999999998</v>
      </c>
      <c r="H72" s="56">
        <f t="shared" si="1"/>
        <v>2.5869999999999997</v>
      </c>
      <c r="I72" s="9">
        <f t="shared" si="2"/>
        <v>0.54326999999999992</v>
      </c>
      <c r="J72" s="57">
        <f t="shared" si="3"/>
        <v>3.1302699999999994</v>
      </c>
      <c r="L72" s="153">
        <f t="shared" si="4"/>
        <v>1.5920000000000001</v>
      </c>
      <c r="M72" s="56">
        <f t="shared" si="5"/>
        <v>3.5819999999999999</v>
      </c>
      <c r="N72" s="9">
        <f t="shared" si="6"/>
        <v>0.75221999999999989</v>
      </c>
      <c r="O72" s="57">
        <f t="shared" si="7"/>
        <v>4.3342200000000002</v>
      </c>
    </row>
    <row r="73" spans="1:15" x14ac:dyDescent="0.3">
      <c r="A73" s="51" t="s">
        <v>1754</v>
      </c>
      <c r="B73" s="52" t="s">
        <v>1755</v>
      </c>
      <c r="C73" s="53" t="s">
        <v>1655</v>
      </c>
      <c r="D73" s="54">
        <v>2.4500000000000002</v>
      </c>
      <c r="E73" s="55">
        <v>0.3</v>
      </c>
      <c r="F73" s="214">
        <v>0.8</v>
      </c>
      <c r="G73" s="2">
        <f t="shared" si="0"/>
        <v>0.73499999999999999</v>
      </c>
      <c r="H73" s="56">
        <f t="shared" si="1"/>
        <v>3.1850000000000001</v>
      </c>
      <c r="I73" s="9">
        <f t="shared" si="2"/>
        <v>0.66884999999999994</v>
      </c>
      <c r="J73" s="57">
        <f t="shared" si="3"/>
        <v>3.85385</v>
      </c>
      <c r="L73" s="153">
        <f t="shared" si="4"/>
        <v>1.9600000000000002</v>
      </c>
      <c r="M73" s="56">
        <f t="shared" si="5"/>
        <v>4.41</v>
      </c>
      <c r="N73" s="9">
        <f t="shared" si="6"/>
        <v>0.92610000000000003</v>
      </c>
      <c r="O73" s="57">
        <f t="shared" si="7"/>
        <v>5.3361000000000001</v>
      </c>
    </row>
    <row r="74" spans="1:15" x14ac:dyDescent="0.3">
      <c r="A74" s="51" t="s">
        <v>1756</v>
      </c>
      <c r="B74" s="52" t="s">
        <v>1757</v>
      </c>
      <c r="C74" s="53" t="s">
        <v>1655</v>
      </c>
      <c r="D74" s="54">
        <v>1.61</v>
      </c>
      <c r="E74" s="55">
        <v>0.3</v>
      </c>
      <c r="F74" s="214">
        <v>0.8</v>
      </c>
      <c r="G74" s="2">
        <f t="shared" si="0"/>
        <v>0.48299999999999998</v>
      </c>
      <c r="H74" s="56">
        <f t="shared" si="1"/>
        <v>2.093</v>
      </c>
      <c r="I74" s="9">
        <f t="shared" si="2"/>
        <v>0.43952999999999998</v>
      </c>
      <c r="J74" s="57">
        <f t="shared" si="3"/>
        <v>2.5325299999999999</v>
      </c>
      <c r="L74" s="153">
        <f t="shared" si="4"/>
        <v>1.2880000000000003</v>
      </c>
      <c r="M74" s="56">
        <f t="shared" si="5"/>
        <v>2.8980000000000006</v>
      </c>
      <c r="N74" s="9">
        <f t="shared" si="6"/>
        <v>0.60858000000000012</v>
      </c>
      <c r="O74" s="57">
        <f t="shared" si="7"/>
        <v>3.5065800000000005</v>
      </c>
    </row>
    <row r="75" spans="1:15" x14ac:dyDescent="0.3">
      <c r="A75" s="51" t="s">
        <v>1758</v>
      </c>
      <c r="B75" s="52" t="s">
        <v>1759</v>
      </c>
      <c r="C75" s="53" t="s">
        <v>1655</v>
      </c>
      <c r="D75" s="54">
        <v>2.4300000000000002</v>
      </c>
      <c r="E75" s="55">
        <v>0.3</v>
      </c>
      <c r="F75" s="214">
        <v>0.8</v>
      </c>
      <c r="G75" s="2">
        <f t="shared" si="0"/>
        <v>0.72899999999999998</v>
      </c>
      <c r="H75" s="56">
        <f t="shared" si="1"/>
        <v>3.1590000000000003</v>
      </c>
      <c r="I75" s="9">
        <f t="shared" si="2"/>
        <v>0.66339000000000004</v>
      </c>
      <c r="J75" s="57">
        <f t="shared" si="3"/>
        <v>3.8223900000000004</v>
      </c>
      <c r="L75" s="153">
        <f t="shared" si="4"/>
        <v>1.9440000000000002</v>
      </c>
      <c r="M75" s="56">
        <f t="shared" si="5"/>
        <v>4.3740000000000006</v>
      </c>
      <c r="N75" s="9">
        <f t="shared" si="6"/>
        <v>0.91854000000000013</v>
      </c>
      <c r="O75" s="57">
        <f t="shared" si="7"/>
        <v>5.2925400000000007</v>
      </c>
    </row>
    <row r="76" spans="1:15" x14ac:dyDescent="0.3">
      <c r="A76" s="51" t="s">
        <v>1760</v>
      </c>
      <c r="B76" s="52" t="s">
        <v>1761</v>
      </c>
      <c r="C76" s="53" t="s">
        <v>1655</v>
      </c>
      <c r="D76" s="54">
        <v>0.93</v>
      </c>
      <c r="E76" s="55">
        <v>0.3</v>
      </c>
      <c r="F76" s="214">
        <v>0.8</v>
      </c>
      <c r="G76" s="2">
        <f t="shared" ref="G76:G112" si="8">D76*E76</f>
        <v>0.27900000000000003</v>
      </c>
      <c r="H76" s="56">
        <f t="shared" ref="H76:H112" si="9">G76+D76</f>
        <v>1.2090000000000001</v>
      </c>
      <c r="I76" s="9">
        <f t="shared" ref="I76:I112" si="10">H76*0.21</f>
        <v>0.25389</v>
      </c>
      <c r="J76" s="57">
        <f t="shared" ref="J76:J112" si="11">H76+I76</f>
        <v>1.46289</v>
      </c>
      <c r="L76" s="153">
        <f t="shared" ref="L76:L112" si="12">D76*F76</f>
        <v>0.74400000000000011</v>
      </c>
      <c r="M76" s="56">
        <f t="shared" ref="M76:M112" si="13">D76+L76</f>
        <v>1.6740000000000002</v>
      </c>
      <c r="N76" s="9">
        <f t="shared" ref="N76:N112" si="14">M76*0.21</f>
        <v>0.35154000000000002</v>
      </c>
      <c r="O76" s="57">
        <f t="shared" ref="O76:O112" si="15">M76+N76</f>
        <v>2.0255400000000003</v>
      </c>
    </row>
    <row r="77" spans="1:15" x14ac:dyDescent="0.3">
      <c r="A77" s="51" t="s">
        <v>1762</v>
      </c>
      <c r="B77" s="52" t="s">
        <v>1763</v>
      </c>
      <c r="C77" s="53" t="s">
        <v>1655</v>
      </c>
      <c r="D77" s="54">
        <v>0.77</v>
      </c>
      <c r="E77" s="55">
        <v>0.3</v>
      </c>
      <c r="F77" s="214">
        <v>0.8</v>
      </c>
      <c r="G77" s="2">
        <f t="shared" si="8"/>
        <v>0.23099999999999998</v>
      </c>
      <c r="H77" s="56">
        <f t="shared" si="9"/>
        <v>1.0009999999999999</v>
      </c>
      <c r="I77" s="9">
        <f t="shared" si="10"/>
        <v>0.21020999999999998</v>
      </c>
      <c r="J77" s="57">
        <f t="shared" si="11"/>
        <v>1.2112099999999999</v>
      </c>
      <c r="L77" s="153">
        <f t="shared" si="12"/>
        <v>0.6160000000000001</v>
      </c>
      <c r="M77" s="56">
        <f t="shared" si="13"/>
        <v>1.3860000000000001</v>
      </c>
      <c r="N77" s="9">
        <f t="shared" si="14"/>
        <v>0.29106000000000004</v>
      </c>
      <c r="O77" s="57">
        <f t="shared" si="15"/>
        <v>1.6770600000000002</v>
      </c>
    </row>
    <row r="78" spans="1:15" x14ac:dyDescent="0.3">
      <c r="A78" s="51" t="s">
        <v>1764</v>
      </c>
      <c r="B78" s="52" t="s">
        <v>1765</v>
      </c>
      <c r="C78" s="53" t="s">
        <v>1655</v>
      </c>
      <c r="D78" s="54">
        <v>2.0499999999999998</v>
      </c>
      <c r="E78" s="55">
        <v>0.3</v>
      </c>
      <c r="F78" s="214">
        <v>0.8</v>
      </c>
      <c r="G78" s="2">
        <f t="shared" si="8"/>
        <v>0.61499999999999988</v>
      </c>
      <c r="H78" s="56">
        <f t="shared" si="9"/>
        <v>2.6649999999999996</v>
      </c>
      <c r="I78" s="9">
        <f t="shared" si="10"/>
        <v>0.55964999999999987</v>
      </c>
      <c r="J78" s="57">
        <f t="shared" si="11"/>
        <v>3.2246499999999996</v>
      </c>
      <c r="L78" s="153">
        <f t="shared" si="12"/>
        <v>1.64</v>
      </c>
      <c r="M78" s="56">
        <f t="shared" si="13"/>
        <v>3.6899999999999995</v>
      </c>
      <c r="N78" s="9">
        <f t="shared" si="14"/>
        <v>0.77489999999999992</v>
      </c>
      <c r="O78" s="57">
        <f t="shared" si="15"/>
        <v>4.4648999999999992</v>
      </c>
    </row>
    <row r="79" spans="1:15" x14ac:dyDescent="0.3">
      <c r="A79" s="51" t="s">
        <v>1766</v>
      </c>
      <c r="B79" s="52" t="s">
        <v>1767</v>
      </c>
      <c r="C79" s="53" t="s">
        <v>1655</v>
      </c>
      <c r="D79" s="54">
        <v>1.87</v>
      </c>
      <c r="E79" s="55">
        <v>0.3</v>
      </c>
      <c r="F79" s="214">
        <v>0.8</v>
      </c>
      <c r="G79" s="2">
        <f t="shared" si="8"/>
        <v>0.56100000000000005</v>
      </c>
      <c r="H79" s="56">
        <f t="shared" si="9"/>
        <v>2.431</v>
      </c>
      <c r="I79" s="9">
        <f t="shared" si="10"/>
        <v>0.51051000000000002</v>
      </c>
      <c r="J79" s="57">
        <f t="shared" si="11"/>
        <v>2.9415100000000001</v>
      </c>
      <c r="L79" s="153">
        <f t="shared" si="12"/>
        <v>1.4960000000000002</v>
      </c>
      <c r="M79" s="56">
        <f t="shared" si="13"/>
        <v>3.3660000000000005</v>
      </c>
      <c r="N79" s="9">
        <f t="shared" si="14"/>
        <v>0.70686000000000004</v>
      </c>
      <c r="O79" s="57">
        <f t="shared" si="15"/>
        <v>4.0728600000000004</v>
      </c>
    </row>
    <row r="80" spans="1:15" x14ac:dyDescent="0.3">
      <c r="A80" s="51" t="s">
        <v>1768</v>
      </c>
      <c r="B80" s="52" t="s">
        <v>1769</v>
      </c>
      <c r="C80" s="53" t="s">
        <v>1655</v>
      </c>
      <c r="D80" s="54">
        <v>1.03</v>
      </c>
      <c r="E80" s="55">
        <v>0.3</v>
      </c>
      <c r="F80" s="214">
        <v>0.8</v>
      </c>
      <c r="G80" s="2">
        <f t="shared" si="8"/>
        <v>0.309</v>
      </c>
      <c r="H80" s="56">
        <f t="shared" si="9"/>
        <v>1.339</v>
      </c>
      <c r="I80" s="9">
        <f t="shared" si="10"/>
        <v>0.28119</v>
      </c>
      <c r="J80" s="57">
        <f t="shared" si="11"/>
        <v>1.62019</v>
      </c>
      <c r="L80" s="153">
        <f t="shared" si="12"/>
        <v>0.82400000000000007</v>
      </c>
      <c r="M80" s="56">
        <f t="shared" si="13"/>
        <v>1.8540000000000001</v>
      </c>
      <c r="N80" s="9">
        <f t="shared" si="14"/>
        <v>0.38934000000000002</v>
      </c>
      <c r="O80" s="57">
        <f t="shared" si="15"/>
        <v>2.2433399999999999</v>
      </c>
    </row>
    <row r="81" spans="1:15" x14ac:dyDescent="0.3">
      <c r="A81" s="51" t="s">
        <v>1770</v>
      </c>
      <c r="B81" s="52" t="s">
        <v>1771</v>
      </c>
      <c r="C81" s="53" t="s">
        <v>1655</v>
      </c>
      <c r="D81" s="54">
        <v>2.17</v>
      </c>
      <c r="E81" s="55">
        <v>0.3</v>
      </c>
      <c r="F81" s="214">
        <v>0.8</v>
      </c>
      <c r="G81" s="2">
        <f t="shared" si="8"/>
        <v>0.65099999999999991</v>
      </c>
      <c r="H81" s="56">
        <f t="shared" si="9"/>
        <v>2.8209999999999997</v>
      </c>
      <c r="I81" s="9">
        <f t="shared" si="10"/>
        <v>0.59240999999999988</v>
      </c>
      <c r="J81" s="57">
        <f t="shared" si="11"/>
        <v>3.4134099999999998</v>
      </c>
      <c r="L81" s="153">
        <f t="shared" si="12"/>
        <v>1.736</v>
      </c>
      <c r="M81" s="56">
        <f t="shared" si="13"/>
        <v>3.9059999999999997</v>
      </c>
      <c r="N81" s="9">
        <f t="shared" si="14"/>
        <v>0.82025999999999988</v>
      </c>
      <c r="O81" s="57">
        <f t="shared" si="15"/>
        <v>4.7262599999999999</v>
      </c>
    </row>
    <row r="82" spans="1:15" x14ac:dyDescent="0.3">
      <c r="A82" s="51" t="s">
        <v>1772</v>
      </c>
      <c r="B82" s="52" t="s">
        <v>1773</v>
      </c>
      <c r="C82" s="53" t="s">
        <v>1655</v>
      </c>
      <c r="D82" s="54">
        <v>1.51</v>
      </c>
      <c r="E82" s="55">
        <v>0.3</v>
      </c>
      <c r="F82" s="214">
        <v>0.8</v>
      </c>
      <c r="G82" s="2">
        <f t="shared" si="8"/>
        <v>0.45299999999999996</v>
      </c>
      <c r="H82" s="56">
        <f t="shared" si="9"/>
        <v>1.9630000000000001</v>
      </c>
      <c r="I82" s="9">
        <f t="shared" si="10"/>
        <v>0.41222999999999999</v>
      </c>
      <c r="J82" s="57">
        <f t="shared" si="11"/>
        <v>2.3752300000000002</v>
      </c>
      <c r="L82" s="153">
        <f t="shared" si="12"/>
        <v>1.2080000000000002</v>
      </c>
      <c r="M82" s="56">
        <f t="shared" si="13"/>
        <v>2.718</v>
      </c>
      <c r="N82" s="9">
        <f t="shared" si="14"/>
        <v>0.57077999999999995</v>
      </c>
      <c r="O82" s="57">
        <f t="shared" si="15"/>
        <v>3.28878</v>
      </c>
    </row>
    <row r="83" spans="1:15" x14ac:dyDescent="0.3">
      <c r="A83" s="51" t="s">
        <v>1774</v>
      </c>
      <c r="B83" s="52" t="s">
        <v>1775</v>
      </c>
      <c r="C83" s="53" t="s">
        <v>1655</v>
      </c>
      <c r="D83" s="54">
        <v>2.27</v>
      </c>
      <c r="E83" s="55">
        <v>0.3</v>
      </c>
      <c r="F83" s="214">
        <v>0.8</v>
      </c>
      <c r="G83" s="2">
        <f t="shared" si="8"/>
        <v>0.68099999999999994</v>
      </c>
      <c r="H83" s="56">
        <f t="shared" si="9"/>
        <v>2.9510000000000001</v>
      </c>
      <c r="I83" s="9">
        <f t="shared" si="10"/>
        <v>0.61970999999999998</v>
      </c>
      <c r="J83" s="57">
        <f t="shared" si="11"/>
        <v>3.5707100000000001</v>
      </c>
      <c r="L83" s="153">
        <f t="shared" si="12"/>
        <v>1.8160000000000001</v>
      </c>
      <c r="M83" s="56">
        <f t="shared" si="13"/>
        <v>4.0860000000000003</v>
      </c>
      <c r="N83" s="9">
        <f t="shared" si="14"/>
        <v>0.85806000000000004</v>
      </c>
      <c r="O83" s="57">
        <f t="shared" si="15"/>
        <v>4.9440600000000003</v>
      </c>
    </row>
    <row r="84" spans="1:15" x14ac:dyDescent="0.3">
      <c r="A84" s="51" t="s">
        <v>1776</v>
      </c>
      <c r="B84" s="52" t="s">
        <v>1777</v>
      </c>
      <c r="C84" s="53" t="s">
        <v>1655</v>
      </c>
      <c r="D84" s="54">
        <v>0.45</v>
      </c>
      <c r="E84" s="55">
        <v>0.3</v>
      </c>
      <c r="F84" s="214">
        <v>0.8</v>
      </c>
      <c r="G84" s="2">
        <f t="shared" si="8"/>
        <v>0.13500000000000001</v>
      </c>
      <c r="H84" s="56">
        <f t="shared" si="9"/>
        <v>0.58499999999999996</v>
      </c>
      <c r="I84" s="9">
        <f t="shared" si="10"/>
        <v>0.12284999999999999</v>
      </c>
      <c r="J84" s="57">
        <f t="shared" si="11"/>
        <v>0.70784999999999998</v>
      </c>
      <c r="L84" s="153">
        <f t="shared" si="12"/>
        <v>0.36000000000000004</v>
      </c>
      <c r="M84" s="56">
        <f t="shared" si="13"/>
        <v>0.81</v>
      </c>
      <c r="N84" s="9">
        <f t="shared" si="14"/>
        <v>0.1701</v>
      </c>
      <c r="O84" s="57">
        <f t="shared" si="15"/>
        <v>0.98010000000000008</v>
      </c>
    </row>
    <row r="85" spans="1:15" x14ac:dyDescent="0.3">
      <c r="A85" s="51" t="s">
        <v>1778</v>
      </c>
      <c r="B85" s="52" t="s">
        <v>1779</v>
      </c>
      <c r="C85" s="53" t="s">
        <v>1655</v>
      </c>
      <c r="D85" s="54">
        <v>2.09</v>
      </c>
      <c r="E85" s="55">
        <v>0.3</v>
      </c>
      <c r="F85" s="214">
        <v>0.8</v>
      </c>
      <c r="G85" s="2">
        <f t="shared" si="8"/>
        <v>0.62699999999999989</v>
      </c>
      <c r="H85" s="56">
        <f t="shared" si="9"/>
        <v>2.7169999999999996</v>
      </c>
      <c r="I85" s="9">
        <f t="shared" si="10"/>
        <v>0.57056999999999991</v>
      </c>
      <c r="J85" s="57">
        <f t="shared" si="11"/>
        <v>3.2875699999999997</v>
      </c>
      <c r="L85" s="153">
        <f t="shared" si="12"/>
        <v>1.6719999999999999</v>
      </c>
      <c r="M85" s="56">
        <f t="shared" si="13"/>
        <v>3.7619999999999996</v>
      </c>
      <c r="N85" s="9">
        <f t="shared" si="14"/>
        <v>0.79001999999999983</v>
      </c>
      <c r="O85" s="57">
        <f t="shared" si="15"/>
        <v>4.5520199999999997</v>
      </c>
    </row>
    <row r="86" spans="1:15" x14ac:dyDescent="0.3">
      <c r="A86" s="51" t="s">
        <v>1780</v>
      </c>
      <c r="B86" s="52" t="s">
        <v>1781</v>
      </c>
      <c r="C86" s="53" t="s">
        <v>1655</v>
      </c>
      <c r="D86" s="54">
        <v>2.0299999999999998</v>
      </c>
      <c r="E86" s="55">
        <v>0.3</v>
      </c>
      <c r="F86" s="214">
        <v>0.8</v>
      </c>
      <c r="G86" s="2">
        <f t="shared" si="8"/>
        <v>0.60899999999999987</v>
      </c>
      <c r="H86" s="56">
        <f t="shared" si="9"/>
        <v>2.6389999999999998</v>
      </c>
      <c r="I86" s="9">
        <f t="shared" si="10"/>
        <v>0.55418999999999996</v>
      </c>
      <c r="J86" s="57">
        <f t="shared" si="11"/>
        <v>3.1931899999999995</v>
      </c>
      <c r="L86" s="153">
        <f t="shared" si="12"/>
        <v>1.6239999999999999</v>
      </c>
      <c r="M86" s="56">
        <f t="shared" si="13"/>
        <v>3.6539999999999999</v>
      </c>
      <c r="N86" s="9">
        <f t="shared" si="14"/>
        <v>0.76733999999999991</v>
      </c>
      <c r="O86" s="57">
        <f t="shared" si="15"/>
        <v>4.4213399999999998</v>
      </c>
    </row>
    <row r="87" spans="1:15" x14ac:dyDescent="0.3">
      <c r="A87" s="51" t="s">
        <v>1782</v>
      </c>
      <c r="B87" s="52" t="s">
        <v>1783</v>
      </c>
      <c r="C87" s="53" t="s">
        <v>1655</v>
      </c>
      <c r="D87" s="54">
        <v>0.59</v>
      </c>
      <c r="E87" s="55">
        <v>0.3</v>
      </c>
      <c r="F87" s="214">
        <v>0.8</v>
      </c>
      <c r="G87" s="2">
        <f t="shared" si="8"/>
        <v>0.17699999999999999</v>
      </c>
      <c r="H87" s="56">
        <f t="shared" si="9"/>
        <v>0.7669999999999999</v>
      </c>
      <c r="I87" s="9">
        <f t="shared" si="10"/>
        <v>0.16106999999999996</v>
      </c>
      <c r="J87" s="57">
        <f t="shared" si="11"/>
        <v>0.92806999999999984</v>
      </c>
      <c r="L87" s="153">
        <f t="shared" si="12"/>
        <v>0.47199999999999998</v>
      </c>
      <c r="M87" s="56">
        <f t="shared" si="13"/>
        <v>1.0619999999999998</v>
      </c>
      <c r="N87" s="9">
        <f t="shared" si="14"/>
        <v>0.22301999999999997</v>
      </c>
      <c r="O87" s="57">
        <f t="shared" si="15"/>
        <v>1.2850199999999998</v>
      </c>
    </row>
    <row r="88" spans="1:15" x14ac:dyDescent="0.3">
      <c r="A88" s="51" t="s">
        <v>1784</v>
      </c>
      <c r="B88" s="52" t="s">
        <v>1785</v>
      </c>
      <c r="C88" s="53" t="s">
        <v>1655</v>
      </c>
      <c r="D88" s="54">
        <v>1.21</v>
      </c>
      <c r="E88" s="55">
        <v>0.3</v>
      </c>
      <c r="F88" s="214">
        <v>0.8</v>
      </c>
      <c r="G88" s="2">
        <f t="shared" si="8"/>
        <v>0.36299999999999999</v>
      </c>
      <c r="H88" s="56">
        <f t="shared" si="9"/>
        <v>1.573</v>
      </c>
      <c r="I88" s="9">
        <f t="shared" si="10"/>
        <v>0.33032999999999996</v>
      </c>
      <c r="J88" s="57">
        <f t="shared" si="11"/>
        <v>1.90333</v>
      </c>
      <c r="L88" s="153">
        <f t="shared" si="12"/>
        <v>0.96799999999999997</v>
      </c>
      <c r="M88" s="56">
        <f t="shared" si="13"/>
        <v>2.1779999999999999</v>
      </c>
      <c r="N88" s="9">
        <f t="shared" si="14"/>
        <v>0.45737999999999995</v>
      </c>
      <c r="O88" s="57">
        <f t="shared" si="15"/>
        <v>2.6353800000000001</v>
      </c>
    </row>
    <row r="89" spans="1:15" x14ac:dyDescent="0.3">
      <c r="A89" s="51" t="s">
        <v>1786</v>
      </c>
      <c r="B89" s="52" t="s">
        <v>1787</v>
      </c>
      <c r="C89" s="53" t="s">
        <v>1655</v>
      </c>
      <c r="D89" s="54">
        <v>2.15</v>
      </c>
      <c r="E89" s="55">
        <v>0.3</v>
      </c>
      <c r="F89" s="214">
        <v>0.8</v>
      </c>
      <c r="G89" s="2">
        <f t="shared" si="8"/>
        <v>0.64499999999999991</v>
      </c>
      <c r="H89" s="56">
        <f t="shared" si="9"/>
        <v>2.7949999999999999</v>
      </c>
      <c r="I89" s="9">
        <f t="shared" si="10"/>
        <v>0.58694999999999997</v>
      </c>
      <c r="J89" s="57">
        <f t="shared" si="11"/>
        <v>3.3819499999999998</v>
      </c>
      <c r="L89" s="153">
        <f t="shared" si="12"/>
        <v>1.72</v>
      </c>
      <c r="M89" s="56">
        <f t="shared" si="13"/>
        <v>3.87</v>
      </c>
      <c r="N89" s="9">
        <f t="shared" si="14"/>
        <v>0.81269999999999998</v>
      </c>
      <c r="O89" s="57">
        <f t="shared" si="15"/>
        <v>4.6827000000000005</v>
      </c>
    </row>
    <row r="90" spans="1:15" x14ac:dyDescent="0.3">
      <c r="A90" s="51" t="s">
        <v>1788</v>
      </c>
      <c r="B90" s="52" t="s">
        <v>1789</v>
      </c>
      <c r="C90" s="53" t="s">
        <v>1655</v>
      </c>
      <c r="D90" s="54">
        <v>1.63</v>
      </c>
      <c r="E90" s="55">
        <v>0.3</v>
      </c>
      <c r="F90" s="214">
        <v>0.8</v>
      </c>
      <c r="G90" s="2">
        <f t="shared" si="8"/>
        <v>0.48899999999999993</v>
      </c>
      <c r="H90" s="56">
        <f t="shared" si="9"/>
        <v>2.1189999999999998</v>
      </c>
      <c r="I90" s="9">
        <f t="shared" si="10"/>
        <v>0.44498999999999994</v>
      </c>
      <c r="J90" s="57">
        <f t="shared" si="11"/>
        <v>2.5639899999999995</v>
      </c>
      <c r="L90" s="153">
        <f t="shared" si="12"/>
        <v>1.304</v>
      </c>
      <c r="M90" s="56">
        <f t="shared" si="13"/>
        <v>2.9340000000000002</v>
      </c>
      <c r="N90" s="9">
        <f t="shared" si="14"/>
        <v>0.61614000000000002</v>
      </c>
      <c r="O90" s="57">
        <f t="shared" si="15"/>
        <v>3.5501400000000003</v>
      </c>
    </row>
    <row r="91" spans="1:15" x14ac:dyDescent="0.3">
      <c r="A91" s="51" t="s">
        <v>1790</v>
      </c>
      <c r="B91" s="52" t="s">
        <v>1791</v>
      </c>
      <c r="C91" s="53" t="s">
        <v>1655</v>
      </c>
      <c r="D91" s="54">
        <v>1.31</v>
      </c>
      <c r="E91" s="55">
        <v>0.3</v>
      </c>
      <c r="F91" s="214">
        <v>0.8</v>
      </c>
      <c r="G91" s="2">
        <f t="shared" si="8"/>
        <v>0.39300000000000002</v>
      </c>
      <c r="H91" s="56">
        <f t="shared" si="9"/>
        <v>1.7030000000000001</v>
      </c>
      <c r="I91" s="9">
        <f t="shared" si="10"/>
        <v>0.35763</v>
      </c>
      <c r="J91" s="57">
        <f t="shared" si="11"/>
        <v>2.0606300000000002</v>
      </c>
      <c r="L91" s="153">
        <f t="shared" si="12"/>
        <v>1.048</v>
      </c>
      <c r="M91" s="56">
        <f t="shared" si="13"/>
        <v>2.3580000000000001</v>
      </c>
      <c r="N91" s="9">
        <f t="shared" si="14"/>
        <v>0.49518000000000001</v>
      </c>
      <c r="O91" s="57">
        <f t="shared" si="15"/>
        <v>2.85318</v>
      </c>
    </row>
    <row r="92" spans="1:15" x14ac:dyDescent="0.3">
      <c r="A92" s="51" t="s">
        <v>1792</v>
      </c>
      <c r="B92" s="52" t="s">
        <v>1793</v>
      </c>
      <c r="C92" s="53" t="s">
        <v>1655</v>
      </c>
      <c r="D92" s="54">
        <v>0.55000000000000004</v>
      </c>
      <c r="E92" s="55">
        <v>0.3</v>
      </c>
      <c r="F92" s="214">
        <v>0.8</v>
      </c>
      <c r="G92" s="2">
        <f t="shared" si="8"/>
        <v>0.16500000000000001</v>
      </c>
      <c r="H92" s="56">
        <f t="shared" si="9"/>
        <v>0.71500000000000008</v>
      </c>
      <c r="I92" s="9">
        <f t="shared" si="10"/>
        <v>0.15015000000000001</v>
      </c>
      <c r="J92" s="57">
        <f t="shared" si="11"/>
        <v>0.86515000000000009</v>
      </c>
      <c r="L92" s="153">
        <f t="shared" si="12"/>
        <v>0.44000000000000006</v>
      </c>
      <c r="M92" s="56">
        <f t="shared" si="13"/>
        <v>0.9900000000000001</v>
      </c>
      <c r="N92" s="9">
        <f t="shared" si="14"/>
        <v>0.2079</v>
      </c>
      <c r="O92" s="57">
        <f t="shared" si="15"/>
        <v>1.1979000000000002</v>
      </c>
    </row>
    <row r="93" spans="1:15" x14ac:dyDescent="0.3">
      <c r="A93" s="51" t="s">
        <v>1794</v>
      </c>
      <c r="B93" s="52" t="s">
        <v>1795</v>
      </c>
      <c r="C93" s="53" t="s">
        <v>1655</v>
      </c>
      <c r="D93" s="54">
        <v>0.67</v>
      </c>
      <c r="E93" s="55">
        <v>0.3</v>
      </c>
      <c r="F93" s="214">
        <v>0.8</v>
      </c>
      <c r="G93" s="2">
        <f t="shared" si="8"/>
        <v>0.20100000000000001</v>
      </c>
      <c r="H93" s="56">
        <f t="shared" si="9"/>
        <v>0.871</v>
      </c>
      <c r="I93" s="9">
        <f t="shared" si="10"/>
        <v>0.18290999999999999</v>
      </c>
      <c r="J93" s="57">
        <f t="shared" si="11"/>
        <v>1.0539099999999999</v>
      </c>
      <c r="L93" s="153">
        <f t="shared" si="12"/>
        <v>0.53600000000000003</v>
      </c>
      <c r="M93" s="56">
        <f t="shared" si="13"/>
        <v>1.206</v>
      </c>
      <c r="N93" s="9">
        <f t="shared" si="14"/>
        <v>0.25325999999999999</v>
      </c>
      <c r="O93" s="57">
        <f t="shared" si="15"/>
        <v>1.45926</v>
      </c>
    </row>
    <row r="94" spans="1:15" x14ac:dyDescent="0.3">
      <c r="A94" s="51" t="s">
        <v>1796</v>
      </c>
      <c r="B94" s="52" t="s">
        <v>1797</v>
      </c>
      <c r="C94" s="53" t="s">
        <v>1655</v>
      </c>
      <c r="D94" s="54">
        <v>0.69</v>
      </c>
      <c r="E94" s="55">
        <v>0.3</v>
      </c>
      <c r="F94" s="214">
        <v>0.8</v>
      </c>
      <c r="G94" s="2">
        <f t="shared" si="8"/>
        <v>0.20699999999999999</v>
      </c>
      <c r="H94" s="56">
        <f t="shared" si="9"/>
        <v>0.89699999999999991</v>
      </c>
      <c r="I94" s="9">
        <f t="shared" si="10"/>
        <v>0.18836999999999998</v>
      </c>
      <c r="J94" s="57">
        <f t="shared" si="11"/>
        <v>1.0853699999999999</v>
      </c>
      <c r="L94" s="153">
        <f t="shared" si="12"/>
        <v>0.55199999999999994</v>
      </c>
      <c r="M94" s="56">
        <f t="shared" si="13"/>
        <v>1.242</v>
      </c>
      <c r="N94" s="9">
        <f t="shared" si="14"/>
        <v>0.26082</v>
      </c>
      <c r="O94" s="57">
        <f t="shared" si="15"/>
        <v>1.50282</v>
      </c>
    </row>
    <row r="95" spans="1:15" x14ac:dyDescent="0.3">
      <c r="A95" s="51" t="s">
        <v>1798</v>
      </c>
      <c r="B95" s="52" t="s">
        <v>1799</v>
      </c>
      <c r="C95" s="53" t="s">
        <v>1655</v>
      </c>
      <c r="D95" s="54">
        <v>0.83</v>
      </c>
      <c r="E95" s="55">
        <v>0.3</v>
      </c>
      <c r="F95" s="214">
        <v>0.8</v>
      </c>
      <c r="G95" s="2">
        <f t="shared" si="8"/>
        <v>0.24899999999999997</v>
      </c>
      <c r="H95" s="56">
        <f t="shared" si="9"/>
        <v>1.079</v>
      </c>
      <c r="I95" s="9">
        <f t="shared" si="10"/>
        <v>0.22658999999999999</v>
      </c>
      <c r="J95" s="57">
        <f t="shared" si="11"/>
        <v>1.30559</v>
      </c>
      <c r="L95" s="153">
        <f t="shared" si="12"/>
        <v>0.66400000000000003</v>
      </c>
      <c r="M95" s="56">
        <f t="shared" si="13"/>
        <v>1.494</v>
      </c>
      <c r="N95" s="9">
        <f t="shared" si="14"/>
        <v>0.31373999999999996</v>
      </c>
      <c r="O95" s="57">
        <f t="shared" si="15"/>
        <v>1.8077399999999999</v>
      </c>
    </row>
    <row r="96" spans="1:15" x14ac:dyDescent="0.3">
      <c r="A96" s="51" t="s">
        <v>1800</v>
      </c>
      <c r="B96" s="52" t="s">
        <v>1801</v>
      </c>
      <c r="C96" s="53" t="s">
        <v>1655</v>
      </c>
      <c r="D96" s="54">
        <v>2.29</v>
      </c>
      <c r="E96" s="55">
        <v>0.3</v>
      </c>
      <c r="F96" s="214">
        <v>0.8</v>
      </c>
      <c r="G96" s="2">
        <f t="shared" si="8"/>
        <v>0.68699999999999994</v>
      </c>
      <c r="H96" s="56">
        <f t="shared" si="9"/>
        <v>2.9769999999999999</v>
      </c>
      <c r="I96" s="9">
        <f t="shared" si="10"/>
        <v>0.62517</v>
      </c>
      <c r="J96" s="57">
        <f t="shared" si="11"/>
        <v>3.6021700000000001</v>
      </c>
      <c r="L96" s="153">
        <f t="shared" si="12"/>
        <v>1.8320000000000001</v>
      </c>
      <c r="M96" s="56">
        <f t="shared" si="13"/>
        <v>4.1219999999999999</v>
      </c>
      <c r="N96" s="9">
        <f t="shared" si="14"/>
        <v>0.86561999999999995</v>
      </c>
      <c r="O96" s="57">
        <f t="shared" si="15"/>
        <v>4.9876199999999997</v>
      </c>
    </row>
    <row r="97" spans="1:15" x14ac:dyDescent="0.3">
      <c r="A97" s="51" t="s">
        <v>1802</v>
      </c>
      <c r="B97" s="52" t="s">
        <v>1803</v>
      </c>
      <c r="C97" s="53" t="s">
        <v>1655</v>
      </c>
      <c r="D97" s="54">
        <v>0.87</v>
      </c>
      <c r="E97" s="55">
        <v>0.3</v>
      </c>
      <c r="F97" s="214">
        <v>0.8</v>
      </c>
      <c r="G97" s="2">
        <f t="shared" si="8"/>
        <v>0.26100000000000001</v>
      </c>
      <c r="H97" s="56">
        <f t="shared" si="9"/>
        <v>1.131</v>
      </c>
      <c r="I97" s="9">
        <f t="shared" si="10"/>
        <v>0.23751</v>
      </c>
      <c r="J97" s="57">
        <f t="shared" si="11"/>
        <v>1.3685100000000001</v>
      </c>
      <c r="L97" s="153">
        <f t="shared" si="12"/>
        <v>0.69600000000000006</v>
      </c>
      <c r="M97" s="56">
        <f t="shared" si="13"/>
        <v>1.5660000000000001</v>
      </c>
      <c r="N97" s="9">
        <f t="shared" si="14"/>
        <v>0.32885999999999999</v>
      </c>
      <c r="O97" s="57">
        <f t="shared" si="15"/>
        <v>1.89486</v>
      </c>
    </row>
    <row r="98" spans="1:15" ht="14.4" customHeight="1" x14ac:dyDescent="0.3">
      <c r="A98" s="51" t="s">
        <v>1804</v>
      </c>
      <c r="B98" s="52" t="s">
        <v>1805</v>
      </c>
      <c r="C98" s="53" t="s">
        <v>1655</v>
      </c>
      <c r="D98" s="54">
        <v>1.83</v>
      </c>
      <c r="E98" s="55">
        <v>0.3</v>
      </c>
      <c r="F98" s="214">
        <v>0.8</v>
      </c>
      <c r="G98" s="2">
        <f t="shared" si="8"/>
        <v>0.54900000000000004</v>
      </c>
      <c r="H98" s="56">
        <f t="shared" si="9"/>
        <v>2.379</v>
      </c>
      <c r="I98" s="9">
        <f t="shared" si="10"/>
        <v>0.49958999999999998</v>
      </c>
      <c r="J98" s="57">
        <f t="shared" si="11"/>
        <v>2.87859</v>
      </c>
      <c r="L98" s="153">
        <f t="shared" si="12"/>
        <v>1.4640000000000002</v>
      </c>
      <c r="M98" s="56">
        <f t="shared" si="13"/>
        <v>3.2940000000000005</v>
      </c>
      <c r="N98" s="9">
        <f t="shared" si="14"/>
        <v>0.69174000000000002</v>
      </c>
      <c r="O98" s="57">
        <f t="shared" si="15"/>
        <v>3.9857400000000007</v>
      </c>
    </row>
    <row r="99" spans="1:15" ht="14.4" customHeight="1" x14ac:dyDescent="0.3">
      <c r="A99" s="51" t="s">
        <v>1806</v>
      </c>
      <c r="B99" s="52" t="s">
        <v>1807</v>
      </c>
      <c r="C99" s="53" t="s">
        <v>1655</v>
      </c>
      <c r="D99" s="54">
        <v>2.21</v>
      </c>
      <c r="E99" s="55">
        <v>0.3</v>
      </c>
      <c r="F99" s="214">
        <v>0.8</v>
      </c>
      <c r="G99" s="2">
        <f t="shared" si="8"/>
        <v>0.66299999999999992</v>
      </c>
      <c r="H99" s="56">
        <f t="shared" si="9"/>
        <v>2.8729999999999998</v>
      </c>
      <c r="I99" s="9">
        <f t="shared" si="10"/>
        <v>0.60332999999999992</v>
      </c>
      <c r="J99" s="57">
        <f t="shared" si="11"/>
        <v>3.4763299999999999</v>
      </c>
      <c r="L99" s="153">
        <f t="shared" si="12"/>
        <v>1.768</v>
      </c>
      <c r="M99" s="56">
        <f t="shared" si="13"/>
        <v>3.9779999999999998</v>
      </c>
      <c r="N99" s="9">
        <f t="shared" si="14"/>
        <v>0.8353799999999999</v>
      </c>
      <c r="O99" s="57">
        <f t="shared" si="15"/>
        <v>4.8133799999999995</v>
      </c>
    </row>
    <row r="100" spans="1:15" x14ac:dyDescent="0.3">
      <c r="A100" s="51" t="s">
        <v>1808</v>
      </c>
      <c r="B100" s="52" t="s">
        <v>1809</v>
      </c>
      <c r="C100" s="53" t="s">
        <v>1655</v>
      </c>
      <c r="D100" s="54">
        <v>1.79</v>
      </c>
      <c r="E100" s="55">
        <v>0.3</v>
      </c>
      <c r="F100" s="214">
        <v>0.8</v>
      </c>
      <c r="G100" s="2">
        <f t="shared" si="8"/>
        <v>0.53700000000000003</v>
      </c>
      <c r="H100" s="56">
        <f t="shared" si="9"/>
        <v>2.327</v>
      </c>
      <c r="I100" s="9">
        <f t="shared" si="10"/>
        <v>0.48866999999999999</v>
      </c>
      <c r="J100" s="57">
        <f t="shared" si="11"/>
        <v>2.8156699999999999</v>
      </c>
      <c r="L100" s="153">
        <f t="shared" si="12"/>
        <v>1.4320000000000002</v>
      </c>
      <c r="M100" s="56">
        <f t="shared" si="13"/>
        <v>3.2220000000000004</v>
      </c>
      <c r="N100" s="9">
        <f t="shared" si="14"/>
        <v>0.67662000000000011</v>
      </c>
      <c r="O100" s="57">
        <f t="shared" si="15"/>
        <v>3.8986200000000006</v>
      </c>
    </row>
    <row r="101" spans="1:15" x14ac:dyDescent="0.3">
      <c r="A101" s="51" t="s">
        <v>1810</v>
      </c>
      <c r="B101" s="52" t="s">
        <v>1811</v>
      </c>
      <c r="C101" s="53" t="s">
        <v>1655</v>
      </c>
      <c r="D101" s="54">
        <v>1.75</v>
      </c>
      <c r="E101" s="55">
        <v>0.3</v>
      </c>
      <c r="F101" s="214">
        <v>0.8</v>
      </c>
      <c r="G101" s="2">
        <f t="shared" si="8"/>
        <v>0.52500000000000002</v>
      </c>
      <c r="H101" s="56">
        <f t="shared" si="9"/>
        <v>2.2749999999999999</v>
      </c>
      <c r="I101" s="9">
        <f t="shared" si="10"/>
        <v>0.47774999999999995</v>
      </c>
      <c r="J101" s="57">
        <f t="shared" si="11"/>
        <v>2.7527499999999998</v>
      </c>
      <c r="L101" s="153">
        <f t="shared" si="12"/>
        <v>1.4000000000000001</v>
      </c>
      <c r="M101" s="56">
        <f t="shared" si="13"/>
        <v>3.1500000000000004</v>
      </c>
      <c r="N101" s="9">
        <f t="shared" si="14"/>
        <v>0.66150000000000009</v>
      </c>
      <c r="O101" s="57">
        <f t="shared" si="15"/>
        <v>3.8115000000000006</v>
      </c>
    </row>
    <row r="102" spans="1:15" x14ac:dyDescent="0.3">
      <c r="A102" s="51" t="s">
        <v>1812</v>
      </c>
      <c r="B102" s="52" t="s">
        <v>1813</v>
      </c>
      <c r="C102" s="53" t="s">
        <v>1655</v>
      </c>
      <c r="D102" s="54">
        <v>0.56999999999999995</v>
      </c>
      <c r="E102" s="55">
        <v>0.3</v>
      </c>
      <c r="F102" s="214">
        <v>0.8</v>
      </c>
      <c r="G102" s="2">
        <f t="shared" si="8"/>
        <v>0.17099999999999999</v>
      </c>
      <c r="H102" s="56">
        <f t="shared" si="9"/>
        <v>0.74099999999999988</v>
      </c>
      <c r="I102" s="9">
        <f t="shared" si="10"/>
        <v>0.15560999999999997</v>
      </c>
      <c r="J102" s="57">
        <f t="shared" si="11"/>
        <v>0.89660999999999991</v>
      </c>
      <c r="L102" s="153">
        <f t="shared" si="12"/>
        <v>0.45599999999999996</v>
      </c>
      <c r="M102" s="56">
        <f t="shared" si="13"/>
        <v>1.0259999999999998</v>
      </c>
      <c r="N102" s="9">
        <f t="shared" si="14"/>
        <v>0.21545999999999996</v>
      </c>
      <c r="O102" s="57">
        <f t="shared" si="15"/>
        <v>1.2414599999999998</v>
      </c>
    </row>
    <row r="103" spans="1:15" x14ac:dyDescent="0.3">
      <c r="A103" s="51" t="s">
        <v>1814</v>
      </c>
      <c r="B103" s="52" t="s">
        <v>1815</v>
      </c>
      <c r="C103" s="53" t="s">
        <v>1655</v>
      </c>
      <c r="D103" s="54">
        <v>0.53</v>
      </c>
      <c r="E103" s="55">
        <v>0.3</v>
      </c>
      <c r="F103" s="214">
        <v>0.8</v>
      </c>
      <c r="G103" s="2">
        <f t="shared" si="8"/>
        <v>0.159</v>
      </c>
      <c r="H103" s="56">
        <f t="shared" si="9"/>
        <v>0.68900000000000006</v>
      </c>
      <c r="I103" s="9">
        <f t="shared" si="10"/>
        <v>0.14469000000000001</v>
      </c>
      <c r="J103" s="57">
        <f t="shared" si="11"/>
        <v>0.83369000000000004</v>
      </c>
      <c r="L103" s="153">
        <f t="shared" si="12"/>
        <v>0.42400000000000004</v>
      </c>
      <c r="M103" s="56">
        <f t="shared" si="13"/>
        <v>0.95400000000000007</v>
      </c>
      <c r="N103" s="9">
        <f t="shared" si="14"/>
        <v>0.20034000000000002</v>
      </c>
      <c r="O103" s="57">
        <f t="shared" si="15"/>
        <v>1.1543400000000001</v>
      </c>
    </row>
    <row r="104" spans="1:15" x14ac:dyDescent="0.3">
      <c r="A104" s="51" t="s">
        <v>1816</v>
      </c>
      <c r="B104" s="52" t="s">
        <v>1817</v>
      </c>
      <c r="C104" s="53" t="s">
        <v>1655</v>
      </c>
      <c r="D104" s="54">
        <v>2.25</v>
      </c>
      <c r="E104" s="55">
        <v>0.3</v>
      </c>
      <c r="F104" s="214">
        <v>0.8</v>
      </c>
      <c r="G104" s="2">
        <f t="shared" si="8"/>
        <v>0.67499999999999993</v>
      </c>
      <c r="H104" s="56">
        <f t="shared" si="9"/>
        <v>2.9249999999999998</v>
      </c>
      <c r="I104" s="9">
        <f t="shared" si="10"/>
        <v>0.61424999999999996</v>
      </c>
      <c r="J104" s="57">
        <f t="shared" si="11"/>
        <v>3.53925</v>
      </c>
      <c r="L104" s="153">
        <f t="shared" si="12"/>
        <v>1.8</v>
      </c>
      <c r="M104" s="56">
        <f t="shared" si="13"/>
        <v>4.05</v>
      </c>
      <c r="N104" s="9">
        <f t="shared" si="14"/>
        <v>0.85049999999999992</v>
      </c>
      <c r="O104" s="57">
        <f t="shared" si="15"/>
        <v>4.9005000000000001</v>
      </c>
    </row>
    <row r="105" spans="1:15" x14ac:dyDescent="0.3">
      <c r="A105" s="51" t="s">
        <v>1818</v>
      </c>
      <c r="B105" s="52" t="s">
        <v>1819</v>
      </c>
      <c r="C105" s="53" t="s">
        <v>1655</v>
      </c>
      <c r="D105" s="54">
        <v>0.61</v>
      </c>
      <c r="E105" s="55">
        <v>0.3</v>
      </c>
      <c r="F105" s="214">
        <v>0.8</v>
      </c>
      <c r="G105" s="2">
        <f t="shared" si="8"/>
        <v>0.183</v>
      </c>
      <c r="H105" s="56">
        <f t="shared" si="9"/>
        <v>0.79299999999999993</v>
      </c>
      <c r="I105" s="9">
        <f t="shared" si="10"/>
        <v>0.16652999999999998</v>
      </c>
      <c r="J105" s="57">
        <f t="shared" si="11"/>
        <v>0.95952999999999988</v>
      </c>
      <c r="L105" s="153">
        <f t="shared" si="12"/>
        <v>0.48799999999999999</v>
      </c>
      <c r="M105" s="56">
        <f t="shared" si="13"/>
        <v>1.0979999999999999</v>
      </c>
      <c r="N105" s="9">
        <f t="shared" si="14"/>
        <v>0.23057999999999995</v>
      </c>
      <c r="O105" s="57">
        <f t="shared" si="15"/>
        <v>1.3285799999999999</v>
      </c>
    </row>
    <row r="106" spans="1:15" x14ac:dyDescent="0.3">
      <c r="A106" s="51" t="s">
        <v>1820</v>
      </c>
      <c r="B106" s="52" t="s">
        <v>1821</v>
      </c>
      <c r="C106" s="53" t="s">
        <v>1655</v>
      </c>
      <c r="D106" s="54">
        <v>2.37</v>
      </c>
      <c r="E106" s="55">
        <v>0.3</v>
      </c>
      <c r="F106" s="214">
        <v>0.8</v>
      </c>
      <c r="G106" s="2">
        <f t="shared" si="8"/>
        <v>0.71099999999999997</v>
      </c>
      <c r="H106" s="56">
        <f t="shared" si="9"/>
        <v>3.081</v>
      </c>
      <c r="I106" s="9">
        <f t="shared" si="10"/>
        <v>0.64700999999999997</v>
      </c>
      <c r="J106" s="57">
        <f t="shared" si="11"/>
        <v>3.7280099999999998</v>
      </c>
      <c r="L106" s="153">
        <f t="shared" si="12"/>
        <v>1.8960000000000001</v>
      </c>
      <c r="M106" s="56">
        <f t="shared" si="13"/>
        <v>4.266</v>
      </c>
      <c r="N106" s="9">
        <f t="shared" si="14"/>
        <v>0.89585999999999999</v>
      </c>
      <c r="O106" s="57">
        <f t="shared" si="15"/>
        <v>5.1618599999999999</v>
      </c>
    </row>
    <row r="107" spans="1:15" x14ac:dyDescent="0.3">
      <c r="A107" s="51" t="s">
        <v>1822</v>
      </c>
      <c r="B107" s="52" t="s">
        <v>1823</v>
      </c>
      <c r="C107" s="53" t="s">
        <v>1655</v>
      </c>
      <c r="D107" s="54">
        <v>1.81</v>
      </c>
      <c r="E107" s="55">
        <v>0.3</v>
      </c>
      <c r="F107" s="214">
        <v>0.8</v>
      </c>
      <c r="G107" s="2">
        <f t="shared" si="8"/>
        <v>0.54300000000000004</v>
      </c>
      <c r="H107" s="56">
        <f t="shared" si="9"/>
        <v>2.3530000000000002</v>
      </c>
      <c r="I107" s="9">
        <f t="shared" si="10"/>
        <v>0.49413000000000001</v>
      </c>
      <c r="J107" s="57">
        <f t="shared" si="11"/>
        <v>2.8471300000000004</v>
      </c>
      <c r="L107" s="153">
        <f t="shared" si="12"/>
        <v>1.4480000000000002</v>
      </c>
      <c r="M107" s="56">
        <f t="shared" si="13"/>
        <v>3.258</v>
      </c>
      <c r="N107" s="9">
        <f t="shared" si="14"/>
        <v>0.68418000000000001</v>
      </c>
      <c r="O107" s="57">
        <f t="shared" si="15"/>
        <v>3.94218</v>
      </c>
    </row>
    <row r="108" spans="1:15" x14ac:dyDescent="0.3">
      <c r="A108" s="51" t="s">
        <v>1824</v>
      </c>
      <c r="B108" s="52" t="s">
        <v>1825</v>
      </c>
      <c r="C108" s="53" t="s">
        <v>1655</v>
      </c>
      <c r="D108" s="54">
        <v>1.37</v>
      </c>
      <c r="E108" s="55">
        <v>0.3</v>
      </c>
      <c r="F108" s="214">
        <v>0.8</v>
      </c>
      <c r="G108" s="2">
        <f t="shared" si="8"/>
        <v>0.41100000000000003</v>
      </c>
      <c r="H108" s="56">
        <f t="shared" si="9"/>
        <v>1.7810000000000001</v>
      </c>
      <c r="I108" s="9">
        <f t="shared" si="10"/>
        <v>0.37401000000000001</v>
      </c>
      <c r="J108" s="57">
        <f t="shared" si="11"/>
        <v>2.1550100000000003</v>
      </c>
      <c r="L108" s="153">
        <f t="shared" si="12"/>
        <v>1.0960000000000001</v>
      </c>
      <c r="M108" s="56">
        <f t="shared" si="13"/>
        <v>2.4660000000000002</v>
      </c>
      <c r="N108" s="9">
        <f t="shared" si="14"/>
        <v>0.51785999999999999</v>
      </c>
      <c r="O108" s="57">
        <f t="shared" si="15"/>
        <v>2.98386</v>
      </c>
    </row>
    <row r="109" spans="1:15" x14ac:dyDescent="0.3">
      <c r="A109" s="51" t="s">
        <v>1826</v>
      </c>
      <c r="B109" s="52" t="s">
        <v>1827</v>
      </c>
      <c r="C109" s="53" t="s">
        <v>1655</v>
      </c>
      <c r="D109" s="54">
        <v>0.73</v>
      </c>
      <c r="E109" s="55">
        <v>0.3</v>
      </c>
      <c r="F109" s="214">
        <v>0.8</v>
      </c>
      <c r="G109" s="2">
        <f t="shared" si="8"/>
        <v>0.219</v>
      </c>
      <c r="H109" s="56">
        <f t="shared" si="9"/>
        <v>0.94899999999999995</v>
      </c>
      <c r="I109" s="9">
        <f t="shared" si="10"/>
        <v>0.19928999999999999</v>
      </c>
      <c r="J109" s="57">
        <f t="shared" si="11"/>
        <v>1.14829</v>
      </c>
      <c r="L109" s="153">
        <f t="shared" si="12"/>
        <v>0.58399999999999996</v>
      </c>
      <c r="M109" s="56">
        <f t="shared" si="13"/>
        <v>1.3140000000000001</v>
      </c>
      <c r="N109" s="9">
        <f t="shared" si="14"/>
        <v>0.27594000000000002</v>
      </c>
      <c r="O109" s="57">
        <f t="shared" si="15"/>
        <v>1.5899400000000001</v>
      </c>
    </row>
    <row r="110" spans="1:15" x14ac:dyDescent="0.3">
      <c r="A110" s="51" t="s">
        <v>1828</v>
      </c>
      <c r="B110" s="52" t="s">
        <v>1829</v>
      </c>
      <c r="C110" s="53" t="s">
        <v>1655</v>
      </c>
      <c r="D110" s="54">
        <v>1.67</v>
      </c>
      <c r="E110" s="55">
        <v>0.3</v>
      </c>
      <c r="F110" s="214">
        <v>0.8</v>
      </c>
      <c r="G110" s="2">
        <f t="shared" si="8"/>
        <v>0.501</v>
      </c>
      <c r="H110" s="56">
        <f t="shared" si="9"/>
        <v>2.1709999999999998</v>
      </c>
      <c r="I110" s="9">
        <f t="shared" si="10"/>
        <v>0.45590999999999993</v>
      </c>
      <c r="J110" s="57">
        <f t="shared" si="11"/>
        <v>2.6269099999999996</v>
      </c>
      <c r="L110" s="153">
        <f t="shared" si="12"/>
        <v>1.3360000000000001</v>
      </c>
      <c r="M110" s="56">
        <f t="shared" si="13"/>
        <v>3.0060000000000002</v>
      </c>
      <c r="N110" s="9">
        <f t="shared" si="14"/>
        <v>0.63126000000000004</v>
      </c>
      <c r="O110" s="57">
        <f t="shared" si="15"/>
        <v>3.6372600000000004</v>
      </c>
    </row>
    <row r="111" spans="1:15" x14ac:dyDescent="0.3">
      <c r="A111" s="51" t="s">
        <v>1830</v>
      </c>
      <c r="B111" s="52" t="s">
        <v>1831</v>
      </c>
      <c r="C111" s="53" t="s">
        <v>1655</v>
      </c>
      <c r="D111" s="54">
        <v>0.97</v>
      </c>
      <c r="E111" s="55">
        <v>0.3</v>
      </c>
      <c r="F111" s="214">
        <v>0.8</v>
      </c>
      <c r="G111" s="2">
        <f t="shared" si="8"/>
        <v>0.29099999999999998</v>
      </c>
      <c r="H111" s="56">
        <f t="shared" si="9"/>
        <v>1.2609999999999999</v>
      </c>
      <c r="I111" s="9">
        <f t="shared" si="10"/>
        <v>0.26480999999999999</v>
      </c>
      <c r="J111" s="57">
        <f t="shared" si="11"/>
        <v>1.5258099999999999</v>
      </c>
      <c r="L111" s="153">
        <f t="shared" si="12"/>
        <v>0.77600000000000002</v>
      </c>
      <c r="M111" s="56">
        <f t="shared" si="13"/>
        <v>1.746</v>
      </c>
      <c r="N111" s="9">
        <f t="shared" si="14"/>
        <v>0.36665999999999999</v>
      </c>
      <c r="O111" s="57">
        <f t="shared" si="15"/>
        <v>2.11266</v>
      </c>
    </row>
    <row r="112" spans="1:15" x14ac:dyDescent="0.3">
      <c r="A112" s="51" t="s">
        <v>1832</v>
      </c>
      <c r="B112" s="52" t="s">
        <v>1833</v>
      </c>
      <c r="C112" s="53" t="s">
        <v>1655</v>
      </c>
      <c r="D112" s="54">
        <v>2.4300000000000002</v>
      </c>
      <c r="E112" s="55">
        <v>0.3</v>
      </c>
      <c r="F112" s="214">
        <v>0.8</v>
      </c>
      <c r="G112" s="2">
        <f t="shared" si="8"/>
        <v>0.72899999999999998</v>
      </c>
      <c r="H112" s="56">
        <f t="shared" si="9"/>
        <v>3.1590000000000003</v>
      </c>
      <c r="I112" s="9">
        <f t="shared" si="10"/>
        <v>0.66339000000000004</v>
      </c>
      <c r="J112" s="57">
        <f t="shared" si="11"/>
        <v>3.8223900000000004</v>
      </c>
      <c r="L112" s="153">
        <f t="shared" si="12"/>
        <v>1.9440000000000002</v>
      </c>
      <c r="M112" s="56">
        <f t="shared" si="13"/>
        <v>4.3740000000000006</v>
      </c>
      <c r="N112" s="9">
        <f t="shared" si="14"/>
        <v>0.91854000000000013</v>
      </c>
      <c r="O112" s="57">
        <f t="shared" si="15"/>
        <v>5.2925400000000007</v>
      </c>
    </row>
    <row r="114" spans="1:15" x14ac:dyDescent="0.3">
      <c r="A114" s="192" t="s">
        <v>120</v>
      </c>
      <c r="B114" s="193" t="s">
        <v>2220</v>
      </c>
      <c r="C114" s="194" t="s">
        <v>1655</v>
      </c>
      <c r="D114" s="195">
        <v>50</v>
      </c>
      <c r="E114" s="196">
        <v>0.2</v>
      </c>
      <c r="F114" s="342">
        <v>0.5</v>
      </c>
      <c r="G114" s="2">
        <f t="shared" ref="G114:G119" si="16">D114*E114</f>
        <v>10</v>
      </c>
      <c r="H114" s="197">
        <f t="shared" ref="H114:H119" si="17">G114+D114</f>
        <v>60</v>
      </c>
      <c r="I114" s="9">
        <f t="shared" ref="I114:I119" si="18">H114*0.21</f>
        <v>12.6</v>
      </c>
      <c r="J114" s="198">
        <f t="shared" ref="J114:J119" si="19">H114+I114</f>
        <v>72.599999999999994</v>
      </c>
      <c r="L114" s="153">
        <f t="shared" ref="L114:L119" si="20">D114*F114</f>
        <v>25</v>
      </c>
      <c r="M114" s="197">
        <f t="shared" ref="M114:M119" si="21">D114+L114</f>
        <v>75</v>
      </c>
      <c r="N114" s="9">
        <f t="shared" ref="N114:N119" si="22">M114*0.21</f>
        <v>15.75</v>
      </c>
      <c r="O114" s="198">
        <f t="shared" ref="O114:O119" si="23">M114+N114</f>
        <v>90.75</v>
      </c>
    </row>
    <row r="115" spans="1:15" x14ac:dyDescent="0.3">
      <c r="A115" s="192" t="s">
        <v>494</v>
      </c>
      <c r="B115" s="341" t="s">
        <v>2221</v>
      </c>
      <c r="C115" s="194" t="s">
        <v>1655</v>
      </c>
      <c r="D115" s="195">
        <v>55</v>
      </c>
      <c r="E115" s="196">
        <v>0.2</v>
      </c>
      <c r="F115" s="342">
        <v>0.5</v>
      </c>
      <c r="G115" s="2">
        <f t="shared" si="16"/>
        <v>11</v>
      </c>
      <c r="H115" s="197">
        <f t="shared" si="17"/>
        <v>66</v>
      </c>
      <c r="I115" s="9">
        <f t="shared" si="18"/>
        <v>13.86</v>
      </c>
      <c r="J115" s="198">
        <f t="shared" si="19"/>
        <v>79.86</v>
      </c>
      <c r="L115" s="153">
        <f t="shared" si="20"/>
        <v>27.5</v>
      </c>
      <c r="M115" s="197">
        <f t="shared" si="21"/>
        <v>82.5</v>
      </c>
      <c r="N115" s="9">
        <f t="shared" si="22"/>
        <v>17.324999999999999</v>
      </c>
      <c r="O115" s="198">
        <f t="shared" si="23"/>
        <v>99.825000000000003</v>
      </c>
    </row>
    <row r="116" spans="1:15" x14ac:dyDescent="0.3">
      <c r="A116" s="192" t="s">
        <v>986</v>
      </c>
      <c r="B116" s="341" t="s">
        <v>2222</v>
      </c>
      <c r="C116" s="194" t="s">
        <v>1655</v>
      </c>
      <c r="D116" s="195">
        <v>32.96</v>
      </c>
      <c r="E116" s="196">
        <v>0.2</v>
      </c>
      <c r="F116" s="342">
        <v>0.5</v>
      </c>
      <c r="G116" s="2">
        <f t="shared" si="16"/>
        <v>6.5920000000000005</v>
      </c>
      <c r="H116" s="197">
        <f t="shared" si="17"/>
        <v>39.552</v>
      </c>
      <c r="I116" s="9">
        <f t="shared" si="18"/>
        <v>8.3059200000000004</v>
      </c>
      <c r="J116" s="198">
        <f t="shared" si="19"/>
        <v>47.85792</v>
      </c>
      <c r="L116" s="153">
        <f t="shared" si="20"/>
        <v>16.48</v>
      </c>
      <c r="M116" s="197">
        <f t="shared" si="21"/>
        <v>49.44</v>
      </c>
      <c r="N116" s="9">
        <f t="shared" si="22"/>
        <v>10.382399999999999</v>
      </c>
      <c r="O116" s="198">
        <f t="shared" si="23"/>
        <v>59.822399999999995</v>
      </c>
    </row>
    <row r="117" spans="1:15" x14ac:dyDescent="0.3">
      <c r="A117" s="192" t="s">
        <v>1172</v>
      </c>
      <c r="B117" s="341" t="s">
        <v>1834</v>
      </c>
      <c r="C117" s="194" t="s">
        <v>1655</v>
      </c>
      <c r="D117" s="195">
        <v>48.35</v>
      </c>
      <c r="E117" s="196">
        <v>0.2</v>
      </c>
      <c r="F117" s="342">
        <v>0.5</v>
      </c>
      <c r="G117" s="2">
        <f t="shared" si="16"/>
        <v>9.6700000000000017</v>
      </c>
      <c r="H117" s="197">
        <f t="shared" si="17"/>
        <v>58.02</v>
      </c>
      <c r="I117" s="9">
        <f t="shared" si="18"/>
        <v>12.184200000000001</v>
      </c>
      <c r="J117" s="198">
        <f t="shared" si="19"/>
        <v>70.2042</v>
      </c>
      <c r="L117" s="153">
        <f t="shared" si="20"/>
        <v>24.175000000000001</v>
      </c>
      <c r="M117" s="197">
        <f t="shared" si="21"/>
        <v>72.525000000000006</v>
      </c>
      <c r="N117" s="9">
        <f t="shared" si="22"/>
        <v>15.23025</v>
      </c>
      <c r="O117" s="198">
        <f t="shared" si="23"/>
        <v>87.755250000000004</v>
      </c>
    </row>
    <row r="118" spans="1:15" x14ac:dyDescent="0.3">
      <c r="A118" s="192" t="s">
        <v>1209</v>
      </c>
      <c r="B118" s="193" t="s">
        <v>2223</v>
      </c>
      <c r="C118" s="194" t="s">
        <v>1655</v>
      </c>
      <c r="D118" s="195">
        <v>55.34</v>
      </c>
      <c r="E118" s="196">
        <v>0.2</v>
      </c>
      <c r="F118" s="342">
        <v>0.5</v>
      </c>
      <c r="G118" s="2">
        <f t="shared" si="16"/>
        <v>11.068000000000001</v>
      </c>
      <c r="H118" s="197">
        <f t="shared" si="17"/>
        <v>66.408000000000001</v>
      </c>
      <c r="I118" s="9">
        <f t="shared" si="18"/>
        <v>13.945679999999999</v>
      </c>
      <c r="J118" s="198">
        <f t="shared" si="19"/>
        <v>80.353679999999997</v>
      </c>
      <c r="L118" s="153">
        <f t="shared" si="20"/>
        <v>27.67</v>
      </c>
      <c r="M118" s="197">
        <f t="shared" si="21"/>
        <v>83.01</v>
      </c>
      <c r="N118" s="9">
        <f t="shared" si="22"/>
        <v>17.432100000000002</v>
      </c>
      <c r="O118" s="198">
        <f t="shared" si="23"/>
        <v>100.44210000000001</v>
      </c>
    </row>
    <row r="119" spans="1:15" x14ac:dyDescent="0.3">
      <c r="A119" s="192" t="s">
        <v>1483</v>
      </c>
      <c r="B119" s="193" t="s">
        <v>2224</v>
      </c>
      <c r="C119" s="194" t="s">
        <v>1655</v>
      </c>
      <c r="D119" s="195">
        <v>128.1</v>
      </c>
      <c r="E119" s="196">
        <v>0.2</v>
      </c>
      <c r="F119" s="342">
        <v>0.5</v>
      </c>
      <c r="G119" s="2">
        <f t="shared" si="16"/>
        <v>25.62</v>
      </c>
      <c r="H119" s="197">
        <f t="shared" si="17"/>
        <v>153.72</v>
      </c>
      <c r="I119" s="9">
        <f t="shared" si="18"/>
        <v>32.281199999999998</v>
      </c>
      <c r="J119" s="198">
        <f t="shared" si="19"/>
        <v>186.00119999999998</v>
      </c>
      <c r="L119" s="153">
        <f t="shared" si="20"/>
        <v>64.05</v>
      </c>
      <c r="M119" s="197">
        <f t="shared" si="21"/>
        <v>192.14999999999998</v>
      </c>
      <c r="N119" s="9">
        <f t="shared" si="22"/>
        <v>40.351499999999994</v>
      </c>
      <c r="O119" s="198">
        <f t="shared" si="23"/>
        <v>232.50149999999996</v>
      </c>
    </row>
    <row r="121" spans="1:15" x14ac:dyDescent="0.3">
      <c r="A121" s="259" t="s">
        <v>278</v>
      </c>
      <c r="B121" s="260" t="s">
        <v>1835</v>
      </c>
      <c r="C121" s="261" t="s">
        <v>1655</v>
      </c>
      <c r="D121" s="262">
        <v>0.5</v>
      </c>
      <c r="E121" s="263">
        <v>0.6</v>
      </c>
      <c r="F121" s="264">
        <v>0.2</v>
      </c>
      <c r="G121" s="2">
        <f t="shared" ref="G121:G139" si="24">D121*E121</f>
        <v>0.3</v>
      </c>
      <c r="H121" s="265">
        <f t="shared" ref="H121:H139" si="25">G121+D121</f>
        <v>0.8</v>
      </c>
      <c r="I121" s="9">
        <f t="shared" ref="I121:I139" si="26">H121*0.21</f>
        <v>0.16800000000000001</v>
      </c>
      <c r="J121" s="266">
        <f t="shared" ref="J121:J139" si="27">H121+I121</f>
        <v>0.96800000000000008</v>
      </c>
      <c r="L121" s="153">
        <f t="shared" ref="L121:L139" si="28">D121*F121</f>
        <v>0.1</v>
      </c>
      <c r="M121" s="265">
        <f t="shared" ref="M121:M139" si="29">D121+L121</f>
        <v>0.6</v>
      </c>
      <c r="N121" s="9">
        <f t="shared" ref="N121:N139" si="30">M121*0.21</f>
        <v>0.126</v>
      </c>
      <c r="O121" s="266">
        <f t="shared" ref="O121:O139" si="31">M121+N121</f>
        <v>0.72599999999999998</v>
      </c>
    </row>
    <row r="122" spans="1:15" x14ac:dyDescent="0.3">
      <c r="A122" s="259" t="s">
        <v>279</v>
      </c>
      <c r="B122" s="260" t="s">
        <v>1836</v>
      </c>
      <c r="C122" s="261" t="s">
        <v>1655</v>
      </c>
      <c r="D122" s="262">
        <v>0.56000000000000005</v>
      </c>
      <c r="E122" s="263">
        <v>0.6</v>
      </c>
      <c r="F122" s="264">
        <v>0.2</v>
      </c>
      <c r="G122" s="2">
        <f t="shared" si="24"/>
        <v>0.33600000000000002</v>
      </c>
      <c r="H122" s="265">
        <f t="shared" si="25"/>
        <v>0.89600000000000013</v>
      </c>
      <c r="I122" s="9">
        <f t="shared" si="26"/>
        <v>0.18816000000000002</v>
      </c>
      <c r="J122" s="266">
        <f t="shared" si="27"/>
        <v>1.0841600000000002</v>
      </c>
      <c r="L122" s="153">
        <f t="shared" si="28"/>
        <v>0.11200000000000002</v>
      </c>
      <c r="M122" s="265">
        <f t="shared" si="29"/>
        <v>0.67200000000000004</v>
      </c>
      <c r="N122" s="9">
        <f t="shared" si="30"/>
        <v>0.14112</v>
      </c>
      <c r="O122" s="266">
        <f t="shared" si="31"/>
        <v>0.81312000000000006</v>
      </c>
    </row>
    <row r="123" spans="1:15" x14ac:dyDescent="0.3">
      <c r="A123" s="259" t="s">
        <v>356</v>
      </c>
      <c r="B123" s="260" t="s">
        <v>357</v>
      </c>
      <c r="C123" s="261" t="s">
        <v>1655</v>
      </c>
      <c r="D123" s="262">
        <v>0.62</v>
      </c>
      <c r="E123" s="263">
        <v>0.6</v>
      </c>
      <c r="F123" s="264">
        <v>0.2</v>
      </c>
      <c r="G123" s="2">
        <f t="shared" si="24"/>
        <v>0.372</v>
      </c>
      <c r="H123" s="265">
        <f t="shared" si="25"/>
        <v>0.99199999999999999</v>
      </c>
      <c r="I123" s="9">
        <f t="shared" si="26"/>
        <v>0.20831999999999998</v>
      </c>
      <c r="J123" s="266">
        <f t="shared" si="27"/>
        <v>1.2003200000000001</v>
      </c>
      <c r="L123" s="153">
        <f t="shared" si="28"/>
        <v>0.124</v>
      </c>
      <c r="M123" s="265">
        <f t="shared" si="29"/>
        <v>0.74399999999999999</v>
      </c>
      <c r="N123" s="9">
        <f t="shared" si="30"/>
        <v>0.15623999999999999</v>
      </c>
      <c r="O123" s="266">
        <f t="shared" si="31"/>
        <v>0.90023999999999993</v>
      </c>
    </row>
    <row r="124" spans="1:15" x14ac:dyDescent="0.3">
      <c r="A124" s="259" t="s">
        <v>358</v>
      </c>
      <c r="B124" s="260" t="s">
        <v>1837</v>
      </c>
      <c r="C124" s="261" t="s">
        <v>1655</v>
      </c>
      <c r="D124" s="262">
        <v>0.68</v>
      </c>
      <c r="E124" s="263">
        <v>0.6</v>
      </c>
      <c r="F124" s="264">
        <v>0.2</v>
      </c>
      <c r="G124" s="2">
        <f t="shared" si="24"/>
        <v>0.40800000000000003</v>
      </c>
      <c r="H124" s="265">
        <f t="shared" si="25"/>
        <v>1.0880000000000001</v>
      </c>
      <c r="I124" s="9">
        <f t="shared" si="26"/>
        <v>0.22848000000000002</v>
      </c>
      <c r="J124" s="266">
        <f t="shared" si="27"/>
        <v>1.3164800000000001</v>
      </c>
      <c r="L124" s="153">
        <f t="shared" si="28"/>
        <v>0.13600000000000001</v>
      </c>
      <c r="M124" s="265">
        <f t="shared" si="29"/>
        <v>0.81600000000000006</v>
      </c>
      <c r="N124" s="9">
        <f t="shared" si="30"/>
        <v>0.17136000000000001</v>
      </c>
      <c r="O124" s="266">
        <f t="shared" si="31"/>
        <v>0.98736000000000002</v>
      </c>
    </row>
    <row r="125" spans="1:15" x14ac:dyDescent="0.3">
      <c r="A125" s="259" t="s">
        <v>361</v>
      </c>
      <c r="B125" s="260" t="s">
        <v>1838</v>
      </c>
      <c r="C125" s="261" t="s">
        <v>1655</v>
      </c>
      <c r="D125" s="262">
        <v>0.74</v>
      </c>
      <c r="E125" s="263">
        <v>0.6</v>
      </c>
      <c r="F125" s="264">
        <v>0.2</v>
      </c>
      <c r="G125" s="2">
        <f t="shared" si="24"/>
        <v>0.44400000000000001</v>
      </c>
      <c r="H125" s="265">
        <f t="shared" si="25"/>
        <v>1.1839999999999999</v>
      </c>
      <c r="I125" s="9">
        <f t="shared" si="26"/>
        <v>0.24863999999999997</v>
      </c>
      <c r="J125" s="266">
        <f t="shared" si="27"/>
        <v>1.4326399999999999</v>
      </c>
      <c r="L125" s="153">
        <f t="shared" si="28"/>
        <v>0.14799999999999999</v>
      </c>
      <c r="M125" s="265">
        <f t="shared" si="29"/>
        <v>0.88800000000000001</v>
      </c>
      <c r="N125" s="9">
        <f t="shared" si="30"/>
        <v>0.18648000000000001</v>
      </c>
      <c r="O125" s="266">
        <f t="shared" si="31"/>
        <v>1.0744800000000001</v>
      </c>
    </row>
    <row r="126" spans="1:15" x14ac:dyDescent="0.3">
      <c r="A126" s="259" t="s">
        <v>458</v>
      </c>
      <c r="B126" s="260" t="s">
        <v>1839</v>
      </c>
      <c r="C126" s="261" t="s">
        <v>1655</v>
      </c>
      <c r="D126" s="262">
        <v>0.8</v>
      </c>
      <c r="E126" s="263">
        <v>0.6</v>
      </c>
      <c r="F126" s="264">
        <v>0.2</v>
      </c>
      <c r="G126" s="2">
        <f t="shared" si="24"/>
        <v>0.48</v>
      </c>
      <c r="H126" s="265">
        <f t="shared" si="25"/>
        <v>1.28</v>
      </c>
      <c r="I126" s="9">
        <f t="shared" si="26"/>
        <v>0.26879999999999998</v>
      </c>
      <c r="J126" s="266">
        <f t="shared" si="27"/>
        <v>1.5488</v>
      </c>
      <c r="L126" s="153">
        <f t="shared" si="28"/>
        <v>0.16000000000000003</v>
      </c>
      <c r="M126" s="265">
        <f t="shared" si="29"/>
        <v>0.96000000000000008</v>
      </c>
      <c r="N126" s="9">
        <f t="shared" si="30"/>
        <v>0.2016</v>
      </c>
      <c r="O126" s="266">
        <f t="shared" si="31"/>
        <v>1.1616</v>
      </c>
    </row>
    <row r="127" spans="1:15" x14ac:dyDescent="0.3">
      <c r="A127" s="259" t="s">
        <v>490</v>
      </c>
      <c r="B127" s="260" t="s">
        <v>1840</v>
      </c>
      <c r="C127" s="261" t="s">
        <v>1655</v>
      </c>
      <c r="D127" s="262">
        <v>0.86</v>
      </c>
      <c r="E127" s="263">
        <v>0.6</v>
      </c>
      <c r="F127" s="264">
        <v>0.2</v>
      </c>
      <c r="G127" s="2">
        <f t="shared" si="24"/>
        <v>0.51600000000000001</v>
      </c>
      <c r="H127" s="265">
        <f t="shared" si="25"/>
        <v>1.3759999999999999</v>
      </c>
      <c r="I127" s="9">
        <f t="shared" si="26"/>
        <v>0.28895999999999994</v>
      </c>
      <c r="J127" s="266">
        <f t="shared" si="27"/>
        <v>1.6649599999999998</v>
      </c>
      <c r="L127" s="153">
        <f t="shared" si="28"/>
        <v>0.17200000000000001</v>
      </c>
      <c r="M127" s="265">
        <f t="shared" si="29"/>
        <v>1.032</v>
      </c>
      <c r="N127" s="9">
        <f t="shared" si="30"/>
        <v>0.21672</v>
      </c>
      <c r="O127" s="266">
        <f t="shared" si="31"/>
        <v>1.2487200000000001</v>
      </c>
    </row>
    <row r="128" spans="1:15" x14ac:dyDescent="0.3">
      <c r="A128" s="259" t="s">
        <v>554</v>
      </c>
      <c r="B128" s="260" t="s">
        <v>1841</v>
      </c>
      <c r="C128" s="261" t="s">
        <v>1655</v>
      </c>
      <c r="D128" s="262">
        <v>0.92</v>
      </c>
      <c r="E128" s="263">
        <v>0.6</v>
      </c>
      <c r="F128" s="264">
        <v>0.2</v>
      </c>
      <c r="G128" s="2">
        <f t="shared" si="24"/>
        <v>0.55200000000000005</v>
      </c>
      <c r="H128" s="265">
        <f t="shared" si="25"/>
        <v>1.472</v>
      </c>
      <c r="I128" s="9">
        <f t="shared" si="26"/>
        <v>0.30912000000000001</v>
      </c>
      <c r="J128" s="266">
        <f t="shared" si="27"/>
        <v>1.78112</v>
      </c>
      <c r="L128" s="153">
        <f t="shared" si="28"/>
        <v>0.18400000000000002</v>
      </c>
      <c r="M128" s="265">
        <f t="shared" si="29"/>
        <v>1.1040000000000001</v>
      </c>
      <c r="N128" s="9">
        <f t="shared" si="30"/>
        <v>0.23184000000000002</v>
      </c>
      <c r="O128" s="266">
        <f t="shared" si="31"/>
        <v>1.3358400000000001</v>
      </c>
    </row>
    <row r="129" spans="1:15" x14ac:dyDescent="0.3">
      <c r="A129" s="259" t="s">
        <v>766</v>
      </c>
      <c r="B129" s="260" t="s">
        <v>1842</v>
      </c>
      <c r="C129" s="261" t="s">
        <v>1655</v>
      </c>
      <c r="D129" s="262">
        <v>0.98</v>
      </c>
      <c r="E129" s="263">
        <v>0.6</v>
      </c>
      <c r="F129" s="264">
        <v>0.2</v>
      </c>
      <c r="G129" s="2">
        <f t="shared" si="24"/>
        <v>0.58799999999999997</v>
      </c>
      <c r="H129" s="265">
        <f t="shared" si="25"/>
        <v>1.5680000000000001</v>
      </c>
      <c r="I129" s="9">
        <f t="shared" si="26"/>
        <v>0.32928000000000002</v>
      </c>
      <c r="J129" s="266">
        <f t="shared" si="27"/>
        <v>1.8972800000000001</v>
      </c>
      <c r="L129" s="153">
        <f t="shared" si="28"/>
        <v>0.19600000000000001</v>
      </c>
      <c r="M129" s="265">
        <f t="shared" si="29"/>
        <v>1.1759999999999999</v>
      </c>
      <c r="N129" s="9">
        <f t="shared" si="30"/>
        <v>0.24695999999999999</v>
      </c>
      <c r="O129" s="266">
        <f t="shared" si="31"/>
        <v>1.42296</v>
      </c>
    </row>
    <row r="130" spans="1:15" x14ac:dyDescent="0.3">
      <c r="A130" s="259" t="s">
        <v>834</v>
      </c>
      <c r="B130" s="260" t="s">
        <v>1843</v>
      </c>
      <c r="C130" s="261" t="s">
        <v>1655</v>
      </c>
      <c r="D130" s="262">
        <v>1.04</v>
      </c>
      <c r="E130" s="263">
        <v>0.6</v>
      </c>
      <c r="F130" s="264">
        <v>0.2</v>
      </c>
      <c r="G130" s="2">
        <f t="shared" si="24"/>
        <v>0.624</v>
      </c>
      <c r="H130" s="265">
        <f t="shared" si="25"/>
        <v>1.6640000000000001</v>
      </c>
      <c r="I130" s="9">
        <f t="shared" si="26"/>
        <v>0.34944000000000003</v>
      </c>
      <c r="J130" s="266">
        <f t="shared" si="27"/>
        <v>2.0134400000000001</v>
      </c>
      <c r="L130" s="153">
        <f t="shared" si="28"/>
        <v>0.20800000000000002</v>
      </c>
      <c r="M130" s="265">
        <f t="shared" si="29"/>
        <v>1.248</v>
      </c>
      <c r="N130" s="9">
        <f t="shared" si="30"/>
        <v>0.26207999999999998</v>
      </c>
      <c r="O130" s="266">
        <f t="shared" si="31"/>
        <v>1.5100799999999999</v>
      </c>
    </row>
    <row r="131" spans="1:15" x14ac:dyDescent="0.3">
      <c r="A131" s="259" t="s">
        <v>991</v>
      </c>
      <c r="B131" s="260" t="s">
        <v>1844</v>
      </c>
      <c r="C131" s="261" t="s">
        <v>1655</v>
      </c>
      <c r="D131" s="262">
        <v>1.1000000000000001</v>
      </c>
      <c r="E131" s="263">
        <v>0.6</v>
      </c>
      <c r="F131" s="264">
        <v>0.2</v>
      </c>
      <c r="G131" s="2">
        <f t="shared" si="24"/>
        <v>0.66</v>
      </c>
      <c r="H131" s="265">
        <f t="shared" si="25"/>
        <v>1.7600000000000002</v>
      </c>
      <c r="I131" s="9">
        <f t="shared" si="26"/>
        <v>0.36960000000000004</v>
      </c>
      <c r="J131" s="266">
        <f t="shared" si="27"/>
        <v>2.1296000000000004</v>
      </c>
      <c r="L131" s="153">
        <f t="shared" si="28"/>
        <v>0.22000000000000003</v>
      </c>
      <c r="M131" s="265">
        <f t="shared" si="29"/>
        <v>1.32</v>
      </c>
      <c r="N131" s="9">
        <f t="shared" si="30"/>
        <v>0.2772</v>
      </c>
      <c r="O131" s="266">
        <f t="shared" si="31"/>
        <v>1.5972</v>
      </c>
    </row>
    <row r="132" spans="1:15" x14ac:dyDescent="0.3">
      <c r="A132" s="259" t="s">
        <v>1078</v>
      </c>
      <c r="B132" s="260" t="s">
        <v>1845</v>
      </c>
      <c r="C132" s="261" t="s">
        <v>1655</v>
      </c>
      <c r="D132" s="262">
        <v>1.1599999999999999</v>
      </c>
      <c r="E132" s="263">
        <v>0.6</v>
      </c>
      <c r="F132" s="264">
        <v>0.2</v>
      </c>
      <c r="G132" s="2">
        <f t="shared" si="24"/>
        <v>0.69599999999999995</v>
      </c>
      <c r="H132" s="265">
        <f t="shared" si="25"/>
        <v>1.8559999999999999</v>
      </c>
      <c r="I132" s="9">
        <f t="shared" si="26"/>
        <v>0.38975999999999994</v>
      </c>
      <c r="J132" s="266">
        <f t="shared" si="27"/>
        <v>2.2457599999999998</v>
      </c>
      <c r="L132" s="153">
        <f t="shared" si="28"/>
        <v>0.23199999999999998</v>
      </c>
      <c r="M132" s="265">
        <f t="shared" si="29"/>
        <v>1.3919999999999999</v>
      </c>
      <c r="N132" s="9">
        <f t="shared" si="30"/>
        <v>0.29231999999999997</v>
      </c>
      <c r="O132" s="266">
        <f t="shared" si="31"/>
        <v>1.6843199999999998</v>
      </c>
    </row>
    <row r="133" spans="1:15" x14ac:dyDescent="0.3">
      <c r="A133" s="259" t="s">
        <v>1082</v>
      </c>
      <c r="B133" s="260" t="s">
        <v>1846</v>
      </c>
      <c r="C133" s="261" t="s">
        <v>1655</v>
      </c>
      <c r="D133" s="262">
        <v>1.22</v>
      </c>
      <c r="E133" s="263">
        <v>0.6</v>
      </c>
      <c r="F133" s="264">
        <v>0.2</v>
      </c>
      <c r="G133" s="2">
        <f t="shared" si="24"/>
        <v>0.73199999999999998</v>
      </c>
      <c r="H133" s="265">
        <f t="shared" si="25"/>
        <v>1.952</v>
      </c>
      <c r="I133" s="9">
        <f t="shared" si="26"/>
        <v>0.40991999999999995</v>
      </c>
      <c r="J133" s="266">
        <f t="shared" si="27"/>
        <v>2.36192</v>
      </c>
      <c r="L133" s="153">
        <f t="shared" si="28"/>
        <v>0.24399999999999999</v>
      </c>
      <c r="M133" s="265">
        <f t="shared" si="29"/>
        <v>1.464</v>
      </c>
      <c r="N133" s="9">
        <f t="shared" si="30"/>
        <v>0.30743999999999999</v>
      </c>
      <c r="O133" s="266">
        <f t="shared" si="31"/>
        <v>1.7714399999999999</v>
      </c>
    </row>
    <row r="134" spans="1:15" x14ac:dyDescent="0.3">
      <c r="A134" s="259" t="s">
        <v>1169</v>
      </c>
      <c r="B134" s="260" t="s">
        <v>1847</v>
      </c>
      <c r="C134" s="261" t="s">
        <v>1655</v>
      </c>
      <c r="D134" s="262">
        <v>1.28</v>
      </c>
      <c r="E134" s="263">
        <v>0.6</v>
      </c>
      <c r="F134" s="264">
        <v>0.2</v>
      </c>
      <c r="G134" s="2">
        <f t="shared" si="24"/>
        <v>0.76800000000000002</v>
      </c>
      <c r="H134" s="265">
        <f t="shared" si="25"/>
        <v>2.048</v>
      </c>
      <c r="I134" s="9">
        <f t="shared" si="26"/>
        <v>0.43008000000000002</v>
      </c>
      <c r="J134" s="266">
        <f t="shared" si="27"/>
        <v>2.4780800000000003</v>
      </c>
      <c r="L134" s="153">
        <f t="shared" si="28"/>
        <v>0.25600000000000001</v>
      </c>
      <c r="M134" s="265">
        <f t="shared" si="29"/>
        <v>1.536</v>
      </c>
      <c r="N134" s="9">
        <f t="shared" si="30"/>
        <v>0.32256000000000001</v>
      </c>
      <c r="O134" s="266">
        <f t="shared" si="31"/>
        <v>1.85856</v>
      </c>
    </row>
    <row r="135" spans="1:15" x14ac:dyDescent="0.3">
      <c r="A135" s="259" t="s">
        <v>1368</v>
      </c>
      <c r="B135" s="260" t="s">
        <v>1848</v>
      </c>
      <c r="C135" s="261" t="s">
        <v>1655</v>
      </c>
      <c r="D135" s="262">
        <v>1.34</v>
      </c>
      <c r="E135" s="263">
        <v>0.6</v>
      </c>
      <c r="F135" s="264">
        <v>0.2</v>
      </c>
      <c r="G135" s="2">
        <f t="shared" si="24"/>
        <v>0.80400000000000005</v>
      </c>
      <c r="H135" s="265">
        <f t="shared" si="25"/>
        <v>2.1440000000000001</v>
      </c>
      <c r="I135" s="9">
        <f t="shared" si="26"/>
        <v>0.45024000000000003</v>
      </c>
      <c r="J135" s="266">
        <f t="shared" si="27"/>
        <v>2.5942400000000001</v>
      </c>
      <c r="L135" s="153">
        <f t="shared" si="28"/>
        <v>0.26800000000000002</v>
      </c>
      <c r="M135" s="265">
        <f t="shared" si="29"/>
        <v>1.6080000000000001</v>
      </c>
      <c r="N135" s="9">
        <f t="shared" si="30"/>
        <v>0.33767999999999998</v>
      </c>
      <c r="O135" s="266">
        <f t="shared" si="31"/>
        <v>1.9456800000000001</v>
      </c>
    </row>
    <row r="136" spans="1:15" x14ac:dyDescent="0.3">
      <c r="A136" s="259" t="s">
        <v>1444</v>
      </c>
      <c r="B136" s="260" t="s">
        <v>1849</v>
      </c>
      <c r="C136" s="261" t="s">
        <v>1655</v>
      </c>
      <c r="D136" s="262">
        <v>1.4</v>
      </c>
      <c r="E136" s="263">
        <v>0.6</v>
      </c>
      <c r="F136" s="264">
        <v>0.2</v>
      </c>
      <c r="G136" s="2">
        <f t="shared" si="24"/>
        <v>0.84</v>
      </c>
      <c r="H136" s="265">
        <f t="shared" si="25"/>
        <v>2.2399999999999998</v>
      </c>
      <c r="I136" s="9">
        <f t="shared" si="26"/>
        <v>0.47039999999999993</v>
      </c>
      <c r="J136" s="266">
        <f t="shared" si="27"/>
        <v>2.7103999999999999</v>
      </c>
      <c r="L136" s="153">
        <f t="shared" si="28"/>
        <v>0.27999999999999997</v>
      </c>
      <c r="M136" s="265">
        <f t="shared" si="29"/>
        <v>1.68</v>
      </c>
      <c r="N136" s="9">
        <f t="shared" si="30"/>
        <v>0.35279999999999995</v>
      </c>
      <c r="O136" s="266">
        <f t="shared" si="31"/>
        <v>2.0327999999999999</v>
      </c>
    </row>
    <row r="137" spans="1:15" x14ac:dyDescent="0.3">
      <c r="A137" s="259" t="s">
        <v>1597</v>
      </c>
      <c r="B137" s="260" t="s">
        <v>1850</v>
      </c>
      <c r="C137" s="261" t="s">
        <v>1655</v>
      </c>
      <c r="D137" s="262">
        <v>1.46</v>
      </c>
      <c r="E137" s="263">
        <v>0.6</v>
      </c>
      <c r="F137" s="264">
        <v>0.2</v>
      </c>
      <c r="G137" s="2">
        <f t="shared" si="24"/>
        <v>0.876</v>
      </c>
      <c r="H137" s="265">
        <f t="shared" si="25"/>
        <v>2.3359999999999999</v>
      </c>
      <c r="I137" s="9">
        <f t="shared" si="26"/>
        <v>0.49055999999999994</v>
      </c>
      <c r="J137" s="266">
        <f t="shared" si="27"/>
        <v>2.8265599999999997</v>
      </c>
      <c r="L137" s="153">
        <f t="shared" si="28"/>
        <v>0.29199999999999998</v>
      </c>
      <c r="M137" s="265">
        <f t="shared" si="29"/>
        <v>1.752</v>
      </c>
      <c r="N137" s="9">
        <f t="shared" si="30"/>
        <v>0.36791999999999997</v>
      </c>
      <c r="O137" s="266">
        <f t="shared" si="31"/>
        <v>2.11992</v>
      </c>
    </row>
    <row r="138" spans="1:15" x14ac:dyDescent="0.3">
      <c r="A138" s="259" t="s">
        <v>1629</v>
      </c>
      <c r="B138" s="260" t="s">
        <v>1851</v>
      </c>
      <c r="C138" s="261" t="s">
        <v>1655</v>
      </c>
      <c r="D138" s="262">
        <v>1.52</v>
      </c>
      <c r="E138" s="263">
        <v>0.6</v>
      </c>
      <c r="F138" s="264">
        <v>0.2</v>
      </c>
      <c r="G138" s="2">
        <f t="shared" si="24"/>
        <v>0.91199999999999992</v>
      </c>
      <c r="H138" s="265">
        <f t="shared" si="25"/>
        <v>2.4319999999999999</v>
      </c>
      <c r="I138" s="9">
        <f t="shared" si="26"/>
        <v>0.51071999999999995</v>
      </c>
      <c r="J138" s="266">
        <f t="shared" si="27"/>
        <v>2.94272</v>
      </c>
      <c r="L138" s="153">
        <f t="shared" si="28"/>
        <v>0.30400000000000005</v>
      </c>
      <c r="M138" s="265">
        <f t="shared" si="29"/>
        <v>1.8240000000000001</v>
      </c>
      <c r="N138" s="9">
        <f t="shared" si="30"/>
        <v>0.38303999999999999</v>
      </c>
      <c r="O138" s="266">
        <f t="shared" si="31"/>
        <v>2.2070400000000001</v>
      </c>
    </row>
    <row r="139" spans="1:15" x14ac:dyDescent="0.3">
      <c r="A139" s="259" t="s">
        <v>1630</v>
      </c>
      <c r="B139" s="260" t="s">
        <v>1852</v>
      </c>
      <c r="C139" s="261" t="s">
        <v>1655</v>
      </c>
      <c r="D139" s="262">
        <v>1.58</v>
      </c>
      <c r="E139" s="263">
        <v>0.6</v>
      </c>
      <c r="F139" s="264">
        <v>0.2</v>
      </c>
      <c r="G139" s="2">
        <f t="shared" si="24"/>
        <v>0.94799999999999995</v>
      </c>
      <c r="H139" s="265">
        <f t="shared" si="25"/>
        <v>2.528</v>
      </c>
      <c r="I139" s="9">
        <f t="shared" si="26"/>
        <v>0.53088000000000002</v>
      </c>
      <c r="J139" s="266">
        <f t="shared" si="27"/>
        <v>3.0588800000000003</v>
      </c>
      <c r="L139" s="153">
        <f t="shared" si="28"/>
        <v>0.31600000000000006</v>
      </c>
      <c r="M139" s="265">
        <f t="shared" si="29"/>
        <v>1.8960000000000001</v>
      </c>
      <c r="N139" s="9">
        <f t="shared" si="30"/>
        <v>0.39816000000000001</v>
      </c>
      <c r="O139" s="266">
        <f t="shared" si="31"/>
        <v>2.2941600000000002</v>
      </c>
    </row>
    <row r="141" spans="1:15" x14ac:dyDescent="0.3">
      <c r="A141" s="482" t="s">
        <v>1487</v>
      </c>
      <c r="B141" s="483" t="s">
        <v>2217</v>
      </c>
      <c r="C141" s="484" t="s">
        <v>1655</v>
      </c>
      <c r="D141" s="485">
        <v>2</v>
      </c>
      <c r="E141" s="486">
        <v>0.2</v>
      </c>
      <c r="F141" s="487">
        <v>0.8</v>
      </c>
      <c r="G141" s="2">
        <f>D141*E141</f>
        <v>0.4</v>
      </c>
      <c r="H141" s="488">
        <f>G141+D141</f>
        <v>2.4</v>
      </c>
      <c r="I141" s="9">
        <f>H141*0.21</f>
        <v>0.504</v>
      </c>
      <c r="J141" s="489">
        <f>H141+I141</f>
        <v>2.9039999999999999</v>
      </c>
      <c r="L141" s="153">
        <f>D141*F141</f>
        <v>1.6</v>
      </c>
      <c r="M141" s="488">
        <f>D141+L141</f>
        <v>3.6</v>
      </c>
      <c r="N141" s="9">
        <f>M141*0.21</f>
        <v>0.75600000000000001</v>
      </c>
      <c r="O141" s="489">
        <f>M141+N141</f>
        <v>4.3559999999999999</v>
      </c>
    </row>
    <row r="143" spans="1:15" x14ac:dyDescent="0.3">
      <c r="A143" s="3" t="s">
        <v>6</v>
      </c>
      <c r="B143" s="4" t="s">
        <v>1853</v>
      </c>
      <c r="C143" s="5" t="s">
        <v>1655</v>
      </c>
      <c r="D143" s="6">
        <v>2.5</v>
      </c>
      <c r="E143" s="7">
        <v>0.4</v>
      </c>
      <c r="F143" s="232">
        <v>0.4</v>
      </c>
      <c r="G143" s="2">
        <f t="shared" ref="G143:G158" si="32">D143*E143</f>
        <v>1</v>
      </c>
      <c r="H143" s="8">
        <f t="shared" ref="H143:H158" si="33">G143+D143</f>
        <v>3.5</v>
      </c>
      <c r="I143" s="9">
        <f t="shared" ref="I143:I158" si="34">H143*0.21</f>
        <v>0.73499999999999999</v>
      </c>
      <c r="J143" s="10">
        <f t="shared" ref="J143:J158" si="35">H143+I143</f>
        <v>4.2350000000000003</v>
      </c>
      <c r="L143" s="153">
        <f>D143*F143</f>
        <v>1</v>
      </c>
      <c r="M143" s="8">
        <f>D143+L143</f>
        <v>3.5</v>
      </c>
      <c r="N143" s="9">
        <f>M143*0.21</f>
        <v>0.73499999999999999</v>
      </c>
      <c r="O143" s="10">
        <f>M143+N143</f>
        <v>4.2350000000000003</v>
      </c>
    </row>
    <row r="144" spans="1:15" x14ac:dyDescent="0.3">
      <c r="A144" s="3" t="s">
        <v>10</v>
      </c>
      <c r="B144" s="4" t="s">
        <v>1854</v>
      </c>
      <c r="C144" s="5" t="s">
        <v>1655</v>
      </c>
      <c r="D144" s="6">
        <v>6.7</v>
      </c>
      <c r="E144" s="7">
        <v>0.4</v>
      </c>
      <c r="F144" s="232">
        <v>0.4</v>
      </c>
      <c r="G144" s="2">
        <f t="shared" si="32"/>
        <v>2.68</v>
      </c>
      <c r="H144" s="8">
        <f t="shared" si="33"/>
        <v>9.3800000000000008</v>
      </c>
      <c r="I144" s="9">
        <f t="shared" si="34"/>
        <v>1.9698</v>
      </c>
      <c r="J144" s="10">
        <f t="shared" si="35"/>
        <v>11.3498</v>
      </c>
      <c r="L144" s="153">
        <f t="shared" ref="L144" si="36">D144*F144</f>
        <v>2.68</v>
      </c>
      <c r="M144" s="8">
        <f t="shared" ref="M144" si="37">D144+L144</f>
        <v>9.3800000000000008</v>
      </c>
      <c r="N144" s="9">
        <f t="shared" ref="N144" si="38">M144*0.21</f>
        <v>1.9698</v>
      </c>
      <c r="O144" s="10">
        <f t="shared" ref="O144" si="39">M144+N144</f>
        <v>11.3498</v>
      </c>
    </row>
    <row r="145" spans="1:15" x14ac:dyDescent="0.3">
      <c r="A145" s="3" t="s">
        <v>60</v>
      </c>
      <c r="B145" s="4" t="s">
        <v>1855</v>
      </c>
      <c r="C145" s="5" t="s">
        <v>1655</v>
      </c>
      <c r="D145" s="6">
        <v>10.9</v>
      </c>
      <c r="E145" s="7">
        <v>0.4</v>
      </c>
      <c r="F145" s="232">
        <v>0.4</v>
      </c>
      <c r="G145" s="2">
        <f t="shared" si="32"/>
        <v>4.3600000000000003</v>
      </c>
      <c r="H145" s="8">
        <f t="shared" si="33"/>
        <v>15.260000000000002</v>
      </c>
      <c r="I145" s="9">
        <f t="shared" si="34"/>
        <v>3.2046000000000001</v>
      </c>
      <c r="J145" s="10">
        <f t="shared" si="35"/>
        <v>18.464600000000001</v>
      </c>
      <c r="L145" s="153">
        <f>D145*F145</f>
        <v>4.3600000000000003</v>
      </c>
      <c r="M145" s="8">
        <f>D145+L145</f>
        <v>15.260000000000002</v>
      </c>
      <c r="N145" s="9">
        <f>M145*0.21</f>
        <v>3.2046000000000001</v>
      </c>
      <c r="O145" s="10">
        <f>M145+N145</f>
        <v>18.464600000000001</v>
      </c>
    </row>
    <row r="146" spans="1:15" x14ac:dyDescent="0.3">
      <c r="A146" s="3" t="s">
        <v>165</v>
      </c>
      <c r="B146" s="4" t="s">
        <v>1856</v>
      </c>
      <c r="C146" s="5" t="s">
        <v>1655</v>
      </c>
      <c r="D146" s="6">
        <v>15.1</v>
      </c>
      <c r="E146" s="7">
        <v>0.4</v>
      </c>
      <c r="F146" s="232">
        <v>0.4</v>
      </c>
      <c r="G146" s="2">
        <f t="shared" si="32"/>
        <v>6.04</v>
      </c>
      <c r="H146" s="8">
        <f t="shared" si="33"/>
        <v>21.14</v>
      </c>
      <c r="I146" s="9">
        <f t="shared" si="34"/>
        <v>4.4394</v>
      </c>
      <c r="J146" s="10">
        <f t="shared" si="35"/>
        <v>25.5794</v>
      </c>
      <c r="L146" s="153">
        <f t="shared" ref="L146:L158" si="40">D146*F146</f>
        <v>6.04</v>
      </c>
      <c r="M146" s="8">
        <f t="shared" ref="M146:M158" si="41">D146+L146</f>
        <v>21.14</v>
      </c>
      <c r="N146" s="9">
        <f t="shared" ref="N146:N158" si="42">M146*0.21</f>
        <v>4.4394</v>
      </c>
      <c r="O146" s="10">
        <f t="shared" ref="O146:O158" si="43">M146+N146</f>
        <v>25.5794</v>
      </c>
    </row>
    <row r="147" spans="1:15" x14ac:dyDescent="0.3">
      <c r="A147" s="3" t="s">
        <v>166</v>
      </c>
      <c r="B147" s="4" t="s">
        <v>1857</v>
      </c>
      <c r="C147" s="5" t="s">
        <v>1655</v>
      </c>
      <c r="D147" s="6">
        <v>19.3</v>
      </c>
      <c r="E147" s="7">
        <v>0.4</v>
      </c>
      <c r="F147" s="232">
        <v>0.4</v>
      </c>
      <c r="G147" s="2">
        <f t="shared" si="32"/>
        <v>7.7200000000000006</v>
      </c>
      <c r="H147" s="8">
        <f t="shared" si="33"/>
        <v>27.020000000000003</v>
      </c>
      <c r="I147" s="9">
        <f t="shared" si="34"/>
        <v>5.6742000000000008</v>
      </c>
      <c r="J147" s="10">
        <f t="shared" si="35"/>
        <v>32.694200000000002</v>
      </c>
      <c r="L147" s="153">
        <f t="shared" si="40"/>
        <v>7.7200000000000006</v>
      </c>
      <c r="M147" s="8">
        <f t="shared" si="41"/>
        <v>27.020000000000003</v>
      </c>
      <c r="N147" s="9">
        <f t="shared" si="42"/>
        <v>5.6742000000000008</v>
      </c>
      <c r="O147" s="10">
        <f t="shared" si="43"/>
        <v>32.694200000000002</v>
      </c>
    </row>
    <row r="148" spans="1:15" x14ac:dyDescent="0.3">
      <c r="A148" s="3" t="s">
        <v>251</v>
      </c>
      <c r="B148" s="4" t="s">
        <v>1858</v>
      </c>
      <c r="C148" s="5" t="s">
        <v>1655</v>
      </c>
      <c r="D148" s="6">
        <v>23.5</v>
      </c>
      <c r="E148" s="7">
        <v>0.4</v>
      </c>
      <c r="F148" s="232">
        <v>0.4</v>
      </c>
      <c r="G148" s="2">
        <f t="shared" si="32"/>
        <v>9.4</v>
      </c>
      <c r="H148" s="8">
        <f t="shared" si="33"/>
        <v>32.9</v>
      </c>
      <c r="I148" s="9">
        <f t="shared" si="34"/>
        <v>6.9089999999999998</v>
      </c>
      <c r="J148" s="10">
        <f t="shared" si="35"/>
        <v>39.808999999999997</v>
      </c>
      <c r="L148" s="153">
        <f t="shared" si="40"/>
        <v>9.4</v>
      </c>
      <c r="M148" s="8">
        <f t="shared" si="41"/>
        <v>32.9</v>
      </c>
      <c r="N148" s="9">
        <f t="shared" si="42"/>
        <v>6.9089999999999998</v>
      </c>
      <c r="O148" s="10">
        <f t="shared" si="43"/>
        <v>39.808999999999997</v>
      </c>
    </row>
    <row r="149" spans="1:15" x14ac:dyDescent="0.3">
      <c r="A149" s="3" t="s">
        <v>317</v>
      </c>
      <c r="B149" s="4" t="s">
        <v>1859</v>
      </c>
      <c r="C149" s="5" t="s">
        <v>1655</v>
      </c>
      <c r="D149" s="6">
        <v>27.7</v>
      </c>
      <c r="E149" s="7">
        <v>0.4</v>
      </c>
      <c r="F149" s="232">
        <v>0.4</v>
      </c>
      <c r="G149" s="2">
        <f t="shared" si="32"/>
        <v>11.08</v>
      </c>
      <c r="H149" s="8">
        <f t="shared" si="33"/>
        <v>38.78</v>
      </c>
      <c r="I149" s="9">
        <f t="shared" si="34"/>
        <v>8.1438000000000006</v>
      </c>
      <c r="J149" s="10">
        <f t="shared" si="35"/>
        <v>46.9238</v>
      </c>
      <c r="L149" s="153">
        <f t="shared" si="40"/>
        <v>11.08</v>
      </c>
      <c r="M149" s="8">
        <f t="shared" si="41"/>
        <v>38.78</v>
      </c>
      <c r="N149" s="9">
        <f t="shared" si="42"/>
        <v>8.1438000000000006</v>
      </c>
      <c r="O149" s="10">
        <f t="shared" si="43"/>
        <v>46.9238</v>
      </c>
    </row>
    <row r="150" spans="1:15" x14ac:dyDescent="0.3">
      <c r="A150" s="3" t="s">
        <v>359</v>
      </c>
      <c r="B150" s="4" t="s">
        <v>1683</v>
      </c>
      <c r="C150" s="5" t="s">
        <v>1655</v>
      </c>
      <c r="D150" s="6">
        <v>31.9</v>
      </c>
      <c r="E150" s="7">
        <v>0.4</v>
      </c>
      <c r="F150" s="232">
        <v>0.4</v>
      </c>
      <c r="G150" s="2">
        <f t="shared" si="32"/>
        <v>12.76</v>
      </c>
      <c r="H150" s="8">
        <f t="shared" si="33"/>
        <v>44.66</v>
      </c>
      <c r="I150" s="9">
        <f t="shared" si="34"/>
        <v>9.3785999999999987</v>
      </c>
      <c r="J150" s="10">
        <f t="shared" si="35"/>
        <v>54.038599999999995</v>
      </c>
      <c r="L150" s="153">
        <f t="shared" si="40"/>
        <v>12.76</v>
      </c>
      <c r="M150" s="8">
        <f t="shared" si="41"/>
        <v>44.66</v>
      </c>
      <c r="N150" s="9">
        <f t="shared" si="42"/>
        <v>9.3785999999999987</v>
      </c>
      <c r="O150" s="10">
        <f t="shared" si="43"/>
        <v>54.038599999999995</v>
      </c>
    </row>
    <row r="151" spans="1:15" x14ac:dyDescent="0.3">
      <c r="A151" s="3" t="s">
        <v>360</v>
      </c>
      <c r="B151" s="4" t="s">
        <v>1860</v>
      </c>
      <c r="C151" s="5" t="s">
        <v>1655</v>
      </c>
      <c r="D151" s="6">
        <v>36.1</v>
      </c>
      <c r="E151" s="7">
        <v>0.4</v>
      </c>
      <c r="F151" s="232">
        <v>0.4</v>
      </c>
      <c r="G151" s="2">
        <f t="shared" si="32"/>
        <v>14.440000000000001</v>
      </c>
      <c r="H151" s="8">
        <f t="shared" si="33"/>
        <v>50.540000000000006</v>
      </c>
      <c r="I151" s="9">
        <f t="shared" si="34"/>
        <v>10.6134</v>
      </c>
      <c r="J151" s="10">
        <f t="shared" si="35"/>
        <v>61.153400000000005</v>
      </c>
      <c r="L151" s="153">
        <f t="shared" si="40"/>
        <v>14.440000000000001</v>
      </c>
      <c r="M151" s="8">
        <f t="shared" si="41"/>
        <v>50.540000000000006</v>
      </c>
      <c r="N151" s="9">
        <f t="shared" si="42"/>
        <v>10.6134</v>
      </c>
      <c r="O151" s="10">
        <f t="shared" si="43"/>
        <v>61.153400000000005</v>
      </c>
    </row>
    <row r="152" spans="1:15" x14ac:dyDescent="0.3">
      <c r="A152" s="3" t="s">
        <v>1861</v>
      </c>
      <c r="B152" s="4" t="s">
        <v>1862</v>
      </c>
      <c r="C152" s="5" t="s">
        <v>1655</v>
      </c>
      <c r="D152" s="6">
        <v>40.299999999999997</v>
      </c>
      <c r="E152" s="7">
        <v>0.4</v>
      </c>
      <c r="F152" s="232">
        <v>0.4</v>
      </c>
      <c r="G152" s="2">
        <f t="shared" si="32"/>
        <v>16.12</v>
      </c>
      <c r="H152" s="8">
        <f t="shared" si="33"/>
        <v>56.42</v>
      </c>
      <c r="I152" s="9">
        <f t="shared" si="34"/>
        <v>11.8482</v>
      </c>
      <c r="J152" s="10">
        <f t="shared" si="35"/>
        <v>68.268200000000007</v>
      </c>
      <c r="L152" s="153">
        <f t="shared" si="40"/>
        <v>16.12</v>
      </c>
      <c r="M152" s="8">
        <f t="shared" si="41"/>
        <v>56.42</v>
      </c>
      <c r="N152" s="9">
        <f t="shared" si="42"/>
        <v>11.8482</v>
      </c>
      <c r="O152" s="10">
        <f t="shared" si="43"/>
        <v>68.268200000000007</v>
      </c>
    </row>
    <row r="153" spans="1:15" x14ac:dyDescent="0.3">
      <c r="A153" s="3" t="s">
        <v>1863</v>
      </c>
      <c r="B153" s="4" t="s">
        <v>1864</v>
      </c>
      <c r="C153" s="5" t="s">
        <v>1655</v>
      </c>
      <c r="D153" s="6">
        <v>44.5</v>
      </c>
      <c r="E153" s="7">
        <v>0.4</v>
      </c>
      <c r="F153" s="232">
        <v>0.4</v>
      </c>
      <c r="G153" s="2">
        <f t="shared" si="32"/>
        <v>17.8</v>
      </c>
      <c r="H153" s="8">
        <f t="shared" si="33"/>
        <v>62.3</v>
      </c>
      <c r="I153" s="9">
        <f t="shared" si="34"/>
        <v>13.082999999999998</v>
      </c>
      <c r="J153" s="10">
        <f t="shared" si="35"/>
        <v>75.382999999999996</v>
      </c>
      <c r="L153" s="153">
        <f t="shared" si="40"/>
        <v>17.8</v>
      </c>
      <c r="M153" s="8">
        <f t="shared" si="41"/>
        <v>62.3</v>
      </c>
      <c r="N153" s="9">
        <f t="shared" si="42"/>
        <v>13.082999999999998</v>
      </c>
      <c r="O153" s="10">
        <f t="shared" si="43"/>
        <v>75.382999999999996</v>
      </c>
    </row>
    <row r="154" spans="1:15" x14ac:dyDescent="0.3">
      <c r="A154" s="3" t="s">
        <v>1865</v>
      </c>
      <c r="B154" s="4" t="s">
        <v>1866</v>
      </c>
      <c r="C154" s="5" t="s">
        <v>1655</v>
      </c>
      <c r="D154" s="6">
        <v>48.7</v>
      </c>
      <c r="E154" s="7">
        <v>0.4</v>
      </c>
      <c r="F154" s="232">
        <v>0.4</v>
      </c>
      <c r="G154" s="2">
        <f t="shared" si="32"/>
        <v>19.480000000000004</v>
      </c>
      <c r="H154" s="8">
        <f t="shared" si="33"/>
        <v>68.180000000000007</v>
      </c>
      <c r="I154" s="9">
        <f t="shared" si="34"/>
        <v>14.3178</v>
      </c>
      <c r="J154" s="10">
        <f t="shared" si="35"/>
        <v>82.497800000000012</v>
      </c>
      <c r="L154" s="153">
        <f t="shared" si="40"/>
        <v>19.480000000000004</v>
      </c>
      <c r="M154" s="8">
        <f t="shared" si="41"/>
        <v>68.180000000000007</v>
      </c>
      <c r="N154" s="9">
        <f t="shared" si="42"/>
        <v>14.3178</v>
      </c>
      <c r="O154" s="10">
        <f t="shared" si="43"/>
        <v>82.497800000000012</v>
      </c>
    </row>
    <row r="155" spans="1:15" x14ac:dyDescent="0.3">
      <c r="A155" s="3" t="s">
        <v>1867</v>
      </c>
      <c r="B155" s="4" t="s">
        <v>1868</v>
      </c>
      <c r="C155" s="5" t="s">
        <v>1655</v>
      </c>
      <c r="D155" s="6">
        <v>52.9</v>
      </c>
      <c r="E155" s="7">
        <v>0.4</v>
      </c>
      <c r="F155" s="232">
        <v>0.4</v>
      </c>
      <c r="G155" s="2">
        <f t="shared" si="32"/>
        <v>21.16</v>
      </c>
      <c r="H155" s="8">
        <f t="shared" si="33"/>
        <v>74.06</v>
      </c>
      <c r="I155" s="9">
        <f t="shared" si="34"/>
        <v>15.5526</v>
      </c>
      <c r="J155" s="10">
        <f t="shared" si="35"/>
        <v>89.6126</v>
      </c>
      <c r="L155" s="153">
        <f t="shared" si="40"/>
        <v>21.16</v>
      </c>
      <c r="M155" s="8">
        <f t="shared" si="41"/>
        <v>74.06</v>
      </c>
      <c r="N155" s="9">
        <f t="shared" si="42"/>
        <v>15.5526</v>
      </c>
      <c r="O155" s="10">
        <f t="shared" si="43"/>
        <v>89.6126</v>
      </c>
    </row>
    <row r="156" spans="1:15" x14ac:dyDescent="0.3">
      <c r="A156" s="3" t="s">
        <v>1869</v>
      </c>
      <c r="B156" s="4" t="s">
        <v>1870</v>
      </c>
      <c r="C156" s="5" t="s">
        <v>1655</v>
      </c>
      <c r="D156" s="6">
        <v>57.1</v>
      </c>
      <c r="E156" s="7">
        <v>0.4</v>
      </c>
      <c r="F156" s="232">
        <v>0.4</v>
      </c>
      <c r="G156" s="2">
        <f t="shared" si="32"/>
        <v>22.840000000000003</v>
      </c>
      <c r="H156" s="8">
        <f t="shared" si="33"/>
        <v>79.94</v>
      </c>
      <c r="I156" s="9">
        <f t="shared" si="34"/>
        <v>16.787399999999998</v>
      </c>
      <c r="J156" s="10">
        <f t="shared" si="35"/>
        <v>96.727399999999989</v>
      </c>
      <c r="L156" s="153">
        <f t="shared" si="40"/>
        <v>22.840000000000003</v>
      </c>
      <c r="M156" s="8">
        <f t="shared" si="41"/>
        <v>79.94</v>
      </c>
      <c r="N156" s="9">
        <f t="shared" si="42"/>
        <v>16.787399999999998</v>
      </c>
      <c r="O156" s="10">
        <f t="shared" si="43"/>
        <v>96.727399999999989</v>
      </c>
    </row>
    <row r="157" spans="1:15" x14ac:dyDescent="0.3">
      <c r="A157" s="3" t="s">
        <v>1871</v>
      </c>
      <c r="B157" s="4" t="s">
        <v>1872</v>
      </c>
      <c r="C157" s="5" t="s">
        <v>1655</v>
      </c>
      <c r="D157" s="6">
        <v>61.3</v>
      </c>
      <c r="E157" s="7">
        <v>0.4</v>
      </c>
      <c r="F157" s="232">
        <v>0.4</v>
      </c>
      <c r="G157" s="2">
        <f t="shared" si="32"/>
        <v>24.52</v>
      </c>
      <c r="H157" s="8">
        <f t="shared" si="33"/>
        <v>85.82</v>
      </c>
      <c r="I157" s="9">
        <f t="shared" si="34"/>
        <v>18.022199999999998</v>
      </c>
      <c r="J157" s="10">
        <f t="shared" si="35"/>
        <v>103.84219999999999</v>
      </c>
      <c r="L157" s="153">
        <f t="shared" si="40"/>
        <v>24.52</v>
      </c>
      <c r="M157" s="8">
        <f t="shared" si="41"/>
        <v>85.82</v>
      </c>
      <c r="N157" s="9">
        <f t="shared" si="42"/>
        <v>18.022199999999998</v>
      </c>
      <c r="O157" s="10">
        <f t="shared" si="43"/>
        <v>103.84219999999999</v>
      </c>
    </row>
    <row r="158" spans="1:15" x14ac:dyDescent="0.3">
      <c r="A158" s="3" t="s">
        <v>1873</v>
      </c>
      <c r="B158" s="4" t="s">
        <v>1874</v>
      </c>
      <c r="C158" s="5" t="s">
        <v>1655</v>
      </c>
      <c r="D158" s="6">
        <v>65.5</v>
      </c>
      <c r="E158" s="7">
        <v>0.4</v>
      </c>
      <c r="F158" s="232">
        <v>0.4</v>
      </c>
      <c r="G158" s="2">
        <f t="shared" si="32"/>
        <v>26.200000000000003</v>
      </c>
      <c r="H158" s="8">
        <f t="shared" si="33"/>
        <v>91.7</v>
      </c>
      <c r="I158" s="9">
        <f t="shared" si="34"/>
        <v>19.257000000000001</v>
      </c>
      <c r="J158" s="10">
        <f t="shared" si="35"/>
        <v>110.95700000000001</v>
      </c>
      <c r="L158" s="153">
        <f t="shared" si="40"/>
        <v>26.200000000000003</v>
      </c>
      <c r="M158" s="8">
        <f t="shared" si="41"/>
        <v>91.7</v>
      </c>
      <c r="N158" s="9">
        <f t="shared" si="42"/>
        <v>19.257000000000001</v>
      </c>
      <c r="O158" s="10">
        <f t="shared" si="43"/>
        <v>110.95700000000001</v>
      </c>
    </row>
    <row r="159" spans="1:15" x14ac:dyDescent="0.3">
      <c r="A159" s="3" t="s">
        <v>1875</v>
      </c>
      <c r="B159" s="4" t="s">
        <v>1876</v>
      </c>
      <c r="C159" s="5" t="s">
        <v>1655</v>
      </c>
      <c r="D159" s="6">
        <v>69.7</v>
      </c>
      <c r="E159" s="7">
        <v>0.4</v>
      </c>
      <c r="F159" s="232">
        <v>0.4</v>
      </c>
      <c r="G159" s="2">
        <f>D159*E159</f>
        <v>27.880000000000003</v>
      </c>
      <c r="H159" s="8">
        <f>G159+D159</f>
        <v>97.580000000000013</v>
      </c>
      <c r="I159" s="9">
        <f>H159*0.21</f>
        <v>20.491800000000001</v>
      </c>
      <c r="J159" s="10">
        <f>H159+I159</f>
        <v>118.07180000000001</v>
      </c>
      <c r="L159" s="153">
        <f>D159*F159</f>
        <v>27.880000000000003</v>
      </c>
      <c r="M159" s="8">
        <f>D159+L159</f>
        <v>97.580000000000013</v>
      </c>
      <c r="N159" s="9">
        <f>M159*0.21</f>
        <v>20.491800000000001</v>
      </c>
      <c r="O159" s="10">
        <f>M159+N159</f>
        <v>118.07180000000001</v>
      </c>
    </row>
    <row r="160" spans="1:15" x14ac:dyDescent="0.3">
      <c r="A160" s="3" t="s">
        <v>1877</v>
      </c>
      <c r="B160" s="4" t="s">
        <v>1878</v>
      </c>
      <c r="C160" s="5" t="s">
        <v>1655</v>
      </c>
      <c r="D160" s="6">
        <v>73.900000000000006</v>
      </c>
      <c r="E160" s="7">
        <v>0.4</v>
      </c>
      <c r="F160" s="232">
        <v>0.4</v>
      </c>
      <c r="G160" s="2">
        <f>D160*E160</f>
        <v>29.560000000000002</v>
      </c>
      <c r="H160" s="8">
        <f>G160+D160</f>
        <v>103.46000000000001</v>
      </c>
      <c r="I160" s="9">
        <f>H160*0.21</f>
        <v>21.726600000000001</v>
      </c>
      <c r="J160" s="10">
        <f>H160+I160</f>
        <v>125.18660000000001</v>
      </c>
      <c r="L160" s="153">
        <f>D160*F160</f>
        <v>29.560000000000002</v>
      </c>
      <c r="M160" s="8">
        <f>D160+L160</f>
        <v>103.46000000000001</v>
      </c>
      <c r="N160" s="9">
        <f>M160*0.21</f>
        <v>21.726600000000001</v>
      </c>
      <c r="O160" s="10">
        <f>M160+N160</f>
        <v>125.18660000000001</v>
      </c>
    </row>
    <row r="162" spans="1:15" x14ac:dyDescent="0.3">
      <c r="A162" s="44" t="s">
        <v>29</v>
      </c>
      <c r="B162" s="45" t="s">
        <v>1879</v>
      </c>
      <c r="C162" s="46" t="s">
        <v>1655</v>
      </c>
      <c r="D162" s="47">
        <v>5</v>
      </c>
      <c r="E162" s="48">
        <v>0.1</v>
      </c>
      <c r="F162" s="215">
        <v>0.15</v>
      </c>
      <c r="G162" s="2">
        <f>D162*E162</f>
        <v>0.5</v>
      </c>
      <c r="H162" s="49">
        <f>G162+D162</f>
        <v>5.5</v>
      </c>
      <c r="I162" s="9">
        <f>H162*0.21</f>
        <v>1.155</v>
      </c>
      <c r="J162" s="50">
        <f>H162+I162</f>
        <v>6.6550000000000002</v>
      </c>
      <c r="L162" s="153">
        <f>D162*F162</f>
        <v>0.75</v>
      </c>
      <c r="M162" s="49">
        <f>D162+L162</f>
        <v>5.75</v>
      </c>
      <c r="N162" s="9">
        <f>M162*0.21</f>
        <v>1.2075</v>
      </c>
      <c r="O162" s="50">
        <f>M162+N162</f>
        <v>6.9574999999999996</v>
      </c>
    </row>
    <row r="163" spans="1:15" x14ac:dyDescent="0.3">
      <c r="A163" s="44" t="s">
        <v>170</v>
      </c>
      <c r="B163" s="45" t="s">
        <v>1880</v>
      </c>
      <c r="C163" s="46" t="s">
        <v>1655</v>
      </c>
      <c r="D163" s="47">
        <v>6</v>
      </c>
      <c r="E163" s="48">
        <v>0.15</v>
      </c>
      <c r="F163" s="215">
        <v>0.2</v>
      </c>
      <c r="G163" s="2">
        <f>D163*E163</f>
        <v>0.89999999999999991</v>
      </c>
      <c r="H163" s="49">
        <f>G163+D163</f>
        <v>6.9</v>
      </c>
      <c r="I163" s="9">
        <f>H163*0.21</f>
        <v>1.4490000000000001</v>
      </c>
      <c r="J163" s="50">
        <f>H163+I163</f>
        <v>8.3490000000000002</v>
      </c>
      <c r="L163" s="153">
        <f t="shared" ref="L163:L166" si="44">D163*F163</f>
        <v>1.2000000000000002</v>
      </c>
      <c r="M163" s="49">
        <f t="shared" ref="M163:M166" si="45">D163+L163</f>
        <v>7.2</v>
      </c>
      <c r="N163" s="9">
        <f t="shared" ref="N163:N166" si="46">M163*0.21</f>
        <v>1.512</v>
      </c>
      <c r="O163" s="50">
        <f t="shared" ref="O163:O166" si="47">M163+N163</f>
        <v>8.7119999999999997</v>
      </c>
    </row>
    <row r="164" spans="1:15" x14ac:dyDescent="0.3">
      <c r="A164" s="44" t="s">
        <v>354</v>
      </c>
      <c r="B164" s="45" t="s">
        <v>1881</v>
      </c>
      <c r="C164" s="46" t="s">
        <v>1655</v>
      </c>
      <c r="D164" s="47">
        <v>7</v>
      </c>
      <c r="E164" s="48">
        <v>0.2</v>
      </c>
      <c r="F164" s="215">
        <v>0.25</v>
      </c>
      <c r="G164" s="2">
        <f>D164*E164</f>
        <v>1.4000000000000001</v>
      </c>
      <c r="H164" s="49">
        <f>G164+D164</f>
        <v>8.4</v>
      </c>
      <c r="I164" s="9">
        <f>H164*0.21</f>
        <v>1.764</v>
      </c>
      <c r="J164" s="50">
        <f>H164+I164</f>
        <v>10.164</v>
      </c>
      <c r="L164" s="153">
        <f t="shared" si="44"/>
        <v>1.75</v>
      </c>
      <c r="M164" s="49">
        <f t="shared" si="45"/>
        <v>8.75</v>
      </c>
      <c r="N164" s="9">
        <f t="shared" si="46"/>
        <v>1.8374999999999999</v>
      </c>
      <c r="O164" s="50">
        <f t="shared" si="47"/>
        <v>10.5875</v>
      </c>
    </row>
    <row r="165" spans="1:15" x14ac:dyDescent="0.3">
      <c r="A165" s="44" t="s">
        <v>1406</v>
      </c>
      <c r="B165" s="45" t="s">
        <v>1882</v>
      </c>
      <c r="C165" s="46" t="s">
        <v>1655</v>
      </c>
      <c r="D165" s="47">
        <v>8</v>
      </c>
      <c r="E165" s="48">
        <v>0.25</v>
      </c>
      <c r="F165" s="215">
        <v>0.3</v>
      </c>
      <c r="G165" s="2">
        <f>D165*E165</f>
        <v>2</v>
      </c>
      <c r="H165" s="49">
        <f>G165+D165</f>
        <v>10</v>
      </c>
      <c r="I165" s="9">
        <f>H165*0.21</f>
        <v>2.1</v>
      </c>
      <c r="J165" s="50">
        <f>H165+I165</f>
        <v>12.1</v>
      </c>
      <c r="L165" s="153">
        <f t="shared" si="44"/>
        <v>2.4</v>
      </c>
      <c r="M165" s="49">
        <f t="shared" si="45"/>
        <v>10.4</v>
      </c>
      <c r="N165" s="9">
        <f t="shared" si="46"/>
        <v>2.1840000000000002</v>
      </c>
      <c r="O165" s="50">
        <f t="shared" si="47"/>
        <v>12.584</v>
      </c>
    </row>
    <row r="166" spans="1:15" x14ac:dyDescent="0.3">
      <c r="A166" s="44" t="s">
        <v>1407</v>
      </c>
      <c r="B166" s="45" t="s">
        <v>1883</v>
      </c>
      <c r="C166" s="46" t="s">
        <v>1655</v>
      </c>
      <c r="D166" s="47">
        <v>9</v>
      </c>
      <c r="E166" s="48">
        <v>0.3</v>
      </c>
      <c r="F166" s="215">
        <v>0.35</v>
      </c>
      <c r="G166" s="2">
        <f>D166*E166</f>
        <v>2.6999999999999997</v>
      </c>
      <c r="H166" s="49">
        <f>G166+D166</f>
        <v>11.7</v>
      </c>
      <c r="I166" s="9">
        <f>H166*0.21</f>
        <v>2.4569999999999999</v>
      </c>
      <c r="J166" s="50">
        <f>H166+I166</f>
        <v>14.157</v>
      </c>
      <c r="L166" s="153">
        <f t="shared" si="44"/>
        <v>3.15</v>
      </c>
      <c r="M166" s="49">
        <f t="shared" si="45"/>
        <v>12.15</v>
      </c>
      <c r="N166" s="9">
        <f t="shared" si="46"/>
        <v>2.5514999999999999</v>
      </c>
      <c r="O166" s="50">
        <f t="shared" si="47"/>
        <v>14.701499999999999</v>
      </c>
    </row>
  </sheetData>
  <mergeCells count="5">
    <mergeCell ref="A1:C4"/>
    <mergeCell ref="E10:F10"/>
    <mergeCell ref="L10:O10"/>
    <mergeCell ref="A6:D7"/>
    <mergeCell ref="A8:D9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C3CFB9"/>
  </sheetPr>
  <dimension ref="A1:AD415"/>
  <sheetViews>
    <sheetView tabSelected="1" topLeftCell="A179" zoomScale="90" zoomScaleNormal="90" workbookViewId="0">
      <selection activeCell="B191" sqref="B191"/>
    </sheetView>
  </sheetViews>
  <sheetFormatPr defaultRowHeight="14.4" x14ac:dyDescent="0.3"/>
  <cols>
    <col min="1" max="1" width="8.6640625" customWidth="1"/>
    <col min="2" max="2" width="45.21875" customWidth="1"/>
    <col min="3" max="3" width="17.6640625" customWidth="1"/>
    <col min="4" max="4" width="13.88671875" customWidth="1"/>
    <col min="5" max="5" width="11.88671875" customWidth="1"/>
    <col min="6" max="6" width="8" customWidth="1"/>
    <col min="7" max="7" width="12.6640625" customWidth="1"/>
    <col min="8" max="8" width="16.44140625" customWidth="1"/>
    <col min="10" max="10" width="12.44140625" customWidth="1"/>
    <col min="12" max="12" width="10.88671875" customWidth="1"/>
    <col min="13" max="13" width="15.88671875" customWidth="1"/>
  </cols>
  <sheetData>
    <row r="1" spans="1:15" x14ac:dyDescent="0.3">
      <c r="A1" s="518"/>
      <c r="B1" s="519"/>
      <c r="C1" s="519"/>
      <c r="D1" s="520"/>
      <c r="E1" s="115"/>
    </row>
    <row r="2" spans="1:15" x14ac:dyDescent="0.3">
      <c r="A2" s="521"/>
      <c r="B2" s="522"/>
      <c r="C2" s="522"/>
      <c r="D2" s="523"/>
      <c r="E2" s="115"/>
    </row>
    <row r="3" spans="1:15" x14ac:dyDescent="0.3">
      <c r="A3" s="521"/>
      <c r="B3" s="522"/>
      <c r="C3" s="522"/>
      <c r="D3" s="523"/>
      <c r="E3" s="115"/>
    </row>
    <row r="4" spans="1:15" x14ac:dyDescent="0.3">
      <c r="A4" s="524"/>
      <c r="B4" s="525"/>
      <c r="C4" s="525"/>
      <c r="D4" s="526"/>
      <c r="E4" s="115"/>
    </row>
    <row r="6" spans="1:15" ht="23.4" customHeight="1" x14ac:dyDescent="0.3">
      <c r="A6" s="527" t="s">
        <v>1657</v>
      </c>
      <c r="B6" s="528"/>
      <c r="C6" s="528"/>
      <c r="D6" s="529"/>
      <c r="E6" s="149"/>
    </row>
    <row r="7" spans="1:15" ht="23.4" x14ac:dyDescent="0.3">
      <c r="A7" s="530"/>
      <c r="B7" s="531"/>
      <c r="C7" s="531"/>
      <c r="D7" s="532"/>
      <c r="E7" s="149"/>
    </row>
    <row r="8" spans="1:15" ht="23.4" x14ac:dyDescent="0.3">
      <c r="A8" s="533" t="s">
        <v>2218</v>
      </c>
      <c r="B8" s="534"/>
      <c r="C8" s="534"/>
      <c r="D8" s="535"/>
      <c r="E8" s="150"/>
    </row>
    <row r="9" spans="1:15" ht="23.4" x14ac:dyDescent="0.3">
      <c r="A9" s="536"/>
      <c r="B9" s="537"/>
      <c r="C9" s="537"/>
      <c r="D9" s="538"/>
      <c r="E9" s="150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x14ac:dyDescent="0.3">
      <c r="A12" s="16" t="s">
        <v>17</v>
      </c>
      <c r="B12" s="17" t="s">
        <v>1884</v>
      </c>
      <c r="C12" s="18" t="s">
        <v>1655</v>
      </c>
      <c r="D12" s="19">
        <v>2.2999999999999998</v>
      </c>
      <c r="E12" s="20">
        <v>0.05</v>
      </c>
      <c r="F12" s="162">
        <v>0.05</v>
      </c>
      <c r="G12" s="2">
        <f t="shared" ref="G12:G36" si="0">D12*E12</f>
        <v>0.11499999999999999</v>
      </c>
      <c r="H12" s="21">
        <f t="shared" ref="H12:H36" si="1">G12+D12</f>
        <v>2.415</v>
      </c>
      <c r="I12" s="9">
        <f t="shared" ref="I12:I36" si="2">H12*0.21</f>
        <v>0.50714999999999999</v>
      </c>
      <c r="J12" s="22">
        <f t="shared" ref="J12:J36" si="3">H12+I12</f>
        <v>2.9221500000000002</v>
      </c>
      <c r="L12" s="153">
        <f>D12*F12</f>
        <v>0.11499999999999999</v>
      </c>
      <c r="M12" s="21">
        <f>D12+L12</f>
        <v>2.415</v>
      </c>
      <c r="N12" s="9">
        <f>M12*0.21</f>
        <v>0.50714999999999999</v>
      </c>
      <c r="O12" s="22">
        <f>M12+N12</f>
        <v>2.9221500000000002</v>
      </c>
    </row>
    <row r="13" spans="1:15" x14ac:dyDescent="0.3">
      <c r="A13" s="16" t="s">
        <v>72</v>
      </c>
      <c r="B13" s="17" t="s">
        <v>1885</v>
      </c>
      <c r="C13" s="18" t="s">
        <v>1655</v>
      </c>
      <c r="D13" s="19">
        <v>2.6</v>
      </c>
      <c r="E13" s="20">
        <v>7.0000000000000007E-2</v>
      </c>
      <c r="F13" s="162">
        <v>7.0000000000000007E-2</v>
      </c>
      <c r="G13" s="2">
        <f t="shared" si="0"/>
        <v>0.18200000000000002</v>
      </c>
      <c r="H13" s="21">
        <f t="shared" si="1"/>
        <v>2.782</v>
      </c>
      <c r="I13" s="9">
        <f t="shared" si="2"/>
        <v>0.58421999999999996</v>
      </c>
      <c r="J13" s="22">
        <f t="shared" si="3"/>
        <v>3.3662200000000002</v>
      </c>
      <c r="L13" s="153">
        <f t="shared" ref="L13:L36" si="4">D13*F13</f>
        <v>0.18200000000000002</v>
      </c>
      <c r="M13" s="21">
        <f t="shared" ref="M13:M36" si="5">D13+L13</f>
        <v>2.782</v>
      </c>
      <c r="N13" s="9">
        <f t="shared" ref="N13:N36" si="6">M13*0.21</f>
        <v>0.58421999999999996</v>
      </c>
      <c r="O13" s="22">
        <f t="shared" ref="O13:O36" si="7">M13+N13</f>
        <v>3.3662200000000002</v>
      </c>
    </row>
    <row r="14" spans="1:15" x14ac:dyDescent="0.3">
      <c r="A14" s="16" t="s">
        <v>73</v>
      </c>
      <c r="B14" s="17" t="s">
        <v>1886</v>
      </c>
      <c r="C14" s="18" t="s">
        <v>1655</v>
      </c>
      <c r="D14" s="19">
        <v>2.9</v>
      </c>
      <c r="E14" s="20">
        <v>0.09</v>
      </c>
      <c r="F14" s="162">
        <v>0.09</v>
      </c>
      <c r="G14" s="2">
        <f t="shared" si="0"/>
        <v>0.26100000000000001</v>
      </c>
      <c r="H14" s="21">
        <f t="shared" si="1"/>
        <v>3.161</v>
      </c>
      <c r="I14" s="9">
        <f t="shared" si="2"/>
        <v>0.66381000000000001</v>
      </c>
      <c r="J14" s="22">
        <f t="shared" si="3"/>
        <v>3.8248100000000003</v>
      </c>
      <c r="L14" s="153">
        <f t="shared" si="4"/>
        <v>0.26100000000000001</v>
      </c>
      <c r="M14" s="21">
        <f t="shared" si="5"/>
        <v>3.161</v>
      </c>
      <c r="N14" s="9">
        <f t="shared" si="6"/>
        <v>0.66381000000000001</v>
      </c>
      <c r="O14" s="22">
        <f t="shared" si="7"/>
        <v>3.8248100000000003</v>
      </c>
    </row>
    <row r="15" spans="1:15" x14ac:dyDescent="0.3">
      <c r="A15" s="16" t="s">
        <v>74</v>
      </c>
      <c r="B15" s="17" t="s">
        <v>1887</v>
      </c>
      <c r="C15" s="18" t="s">
        <v>1655</v>
      </c>
      <c r="D15" s="19">
        <v>3.2</v>
      </c>
      <c r="E15" s="20">
        <v>0.11</v>
      </c>
      <c r="F15" s="162">
        <v>0.11</v>
      </c>
      <c r="G15" s="2">
        <f t="shared" si="0"/>
        <v>0.35200000000000004</v>
      </c>
      <c r="H15" s="21">
        <f t="shared" si="1"/>
        <v>3.552</v>
      </c>
      <c r="I15" s="9">
        <f t="shared" si="2"/>
        <v>0.74592000000000003</v>
      </c>
      <c r="J15" s="22">
        <f t="shared" si="3"/>
        <v>4.2979200000000004</v>
      </c>
      <c r="L15" s="153">
        <f t="shared" si="4"/>
        <v>0.35200000000000004</v>
      </c>
      <c r="M15" s="21">
        <f t="shared" si="5"/>
        <v>3.552</v>
      </c>
      <c r="N15" s="9">
        <f t="shared" si="6"/>
        <v>0.74592000000000003</v>
      </c>
      <c r="O15" s="22">
        <f t="shared" si="7"/>
        <v>4.2979200000000004</v>
      </c>
    </row>
    <row r="16" spans="1:15" x14ac:dyDescent="0.3">
      <c r="A16" s="16" t="s">
        <v>75</v>
      </c>
      <c r="B16" s="17" t="s">
        <v>1888</v>
      </c>
      <c r="C16" s="18" t="s">
        <v>1655</v>
      </c>
      <c r="D16" s="19">
        <v>3.5</v>
      </c>
      <c r="E16" s="20">
        <v>0.13</v>
      </c>
      <c r="F16" s="162">
        <v>0.13</v>
      </c>
      <c r="G16" s="2">
        <f t="shared" si="0"/>
        <v>0.45500000000000002</v>
      </c>
      <c r="H16" s="21">
        <f t="shared" si="1"/>
        <v>3.9550000000000001</v>
      </c>
      <c r="I16" s="9">
        <f t="shared" si="2"/>
        <v>0.83055000000000001</v>
      </c>
      <c r="J16" s="22">
        <f t="shared" si="3"/>
        <v>4.7855499999999997</v>
      </c>
      <c r="L16" s="153">
        <f t="shared" si="4"/>
        <v>0.45500000000000002</v>
      </c>
      <c r="M16" s="21">
        <f t="shared" si="5"/>
        <v>3.9550000000000001</v>
      </c>
      <c r="N16" s="9">
        <f t="shared" si="6"/>
        <v>0.83055000000000001</v>
      </c>
      <c r="O16" s="22">
        <f t="shared" si="7"/>
        <v>4.7855499999999997</v>
      </c>
    </row>
    <row r="17" spans="1:15" x14ac:dyDescent="0.3">
      <c r="A17" s="16" t="s">
        <v>76</v>
      </c>
      <c r="B17" s="17" t="s">
        <v>1889</v>
      </c>
      <c r="C17" s="18" t="s">
        <v>1655</v>
      </c>
      <c r="D17" s="19">
        <v>3.8</v>
      </c>
      <c r="E17" s="20">
        <v>0.15</v>
      </c>
      <c r="F17" s="162">
        <v>0.15</v>
      </c>
      <c r="G17" s="2">
        <f t="shared" si="0"/>
        <v>0.56999999999999995</v>
      </c>
      <c r="H17" s="21">
        <f t="shared" si="1"/>
        <v>4.37</v>
      </c>
      <c r="I17" s="9">
        <f t="shared" si="2"/>
        <v>0.91769999999999996</v>
      </c>
      <c r="J17" s="22">
        <f t="shared" si="3"/>
        <v>5.2877000000000001</v>
      </c>
      <c r="L17" s="153">
        <f t="shared" si="4"/>
        <v>0.56999999999999995</v>
      </c>
      <c r="M17" s="21">
        <f t="shared" si="5"/>
        <v>4.37</v>
      </c>
      <c r="N17" s="9">
        <f t="shared" si="6"/>
        <v>0.91769999999999996</v>
      </c>
      <c r="O17" s="22">
        <f t="shared" si="7"/>
        <v>5.2877000000000001</v>
      </c>
    </row>
    <row r="18" spans="1:15" x14ac:dyDescent="0.3">
      <c r="A18" s="16" t="s">
        <v>88</v>
      </c>
      <c r="B18" s="17" t="s">
        <v>1890</v>
      </c>
      <c r="C18" s="18" t="s">
        <v>1655</v>
      </c>
      <c r="D18" s="19">
        <v>4.0999999999999996</v>
      </c>
      <c r="E18" s="20">
        <v>0.17</v>
      </c>
      <c r="F18" s="162">
        <v>0.17</v>
      </c>
      <c r="G18" s="2">
        <f t="shared" si="0"/>
        <v>0.69699999999999995</v>
      </c>
      <c r="H18" s="21">
        <f t="shared" si="1"/>
        <v>4.7969999999999997</v>
      </c>
      <c r="I18" s="9">
        <f t="shared" si="2"/>
        <v>1.0073699999999999</v>
      </c>
      <c r="J18" s="22">
        <f t="shared" si="3"/>
        <v>5.8043699999999996</v>
      </c>
      <c r="L18" s="153">
        <f t="shared" si="4"/>
        <v>0.69699999999999995</v>
      </c>
      <c r="M18" s="21">
        <f t="shared" si="5"/>
        <v>4.7969999999999997</v>
      </c>
      <c r="N18" s="9">
        <f t="shared" si="6"/>
        <v>1.0073699999999999</v>
      </c>
      <c r="O18" s="22">
        <f t="shared" si="7"/>
        <v>5.8043699999999996</v>
      </c>
    </row>
    <row r="19" spans="1:15" x14ac:dyDescent="0.3">
      <c r="A19" s="16" t="s">
        <v>186</v>
      </c>
      <c r="B19" s="17" t="s">
        <v>1891</v>
      </c>
      <c r="C19" s="18" t="s">
        <v>1655</v>
      </c>
      <c r="D19" s="19">
        <v>4.4000000000000004</v>
      </c>
      <c r="E19" s="20">
        <v>0.19</v>
      </c>
      <c r="F19" s="162">
        <v>0.19</v>
      </c>
      <c r="G19" s="2">
        <f t="shared" si="0"/>
        <v>0.83600000000000008</v>
      </c>
      <c r="H19" s="21">
        <f t="shared" si="1"/>
        <v>5.2360000000000007</v>
      </c>
      <c r="I19" s="9">
        <f t="shared" si="2"/>
        <v>1.0995600000000001</v>
      </c>
      <c r="J19" s="22">
        <f t="shared" si="3"/>
        <v>6.335560000000001</v>
      </c>
      <c r="L19" s="153">
        <f t="shared" si="4"/>
        <v>0.83600000000000008</v>
      </c>
      <c r="M19" s="21">
        <f t="shared" si="5"/>
        <v>5.2360000000000007</v>
      </c>
      <c r="N19" s="9">
        <f t="shared" si="6"/>
        <v>1.0995600000000001</v>
      </c>
      <c r="O19" s="22">
        <f t="shared" si="7"/>
        <v>6.335560000000001</v>
      </c>
    </row>
    <row r="20" spans="1:15" x14ac:dyDescent="0.3">
      <c r="A20" s="16" t="s">
        <v>190</v>
      </c>
      <c r="B20" s="17" t="s">
        <v>1892</v>
      </c>
      <c r="C20" s="18" t="s">
        <v>1655</v>
      </c>
      <c r="D20" s="19">
        <v>4.7</v>
      </c>
      <c r="E20" s="20">
        <v>0.21</v>
      </c>
      <c r="F20" s="162">
        <v>0.21</v>
      </c>
      <c r="G20" s="2">
        <f t="shared" si="0"/>
        <v>0.98699999999999999</v>
      </c>
      <c r="H20" s="21">
        <f t="shared" si="1"/>
        <v>5.6870000000000003</v>
      </c>
      <c r="I20" s="9">
        <f t="shared" si="2"/>
        <v>1.1942699999999999</v>
      </c>
      <c r="J20" s="22">
        <f t="shared" si="3"/>
        <v>6.8812700000000007</v>
      </c>
      <c r="L20" s="153">
        <f t="shared" si="4"/>
        <v>0.98699999999999999</v>
      </c>
      <c r="M20" s="21">
        <f t="shared" si="5"/>
        <v>5.6870000000000003</v>
      </c>
      <c r="N20" s="9">
        <f t="shared" si="6"/>
        <v>1.1942699999999999</v>
      </c>
      <c r="O20" s="22">
        <f t="shared" si="7"/>
        <v>6.8812700000000007</v>
      </c>
    </row>
    <row r="21" spans="1:15" x14ac:dyDescent="0.3">
      <c r="A21" s="16" t="s">
        <v>250</v>
      </c>
      <c r="B21" s="17" t="s">
        <v>1893</v>
      </c>
      <c r="C21" s="18" t="s">
        <v>1655</v>
      </c>
      <c r="D21" s="19">
        <v>5</v>
      </c>
      <c r="E21" s="20">
        <v>0.23</v>
      </c>
      <c r="F21" s="162">
        <v>0.23</v>
      </c>
      <c r="G21" s="2">
        <f t="shared" si="0"/>
        <v>1.1500000000000001</v>
      </c>
      <c r="H21" s="21">
        <f t="shared" si="1"/>
        <v>6.15</v>
      </c>
      <c r="I21" s="9">
        <f t="shared" si="2"/>
        <v>1.2915000000000001</v>
      </c>
      <c r="J21" s="22">
        <f t="shared" si="3"/>
        <v>7.4415000000000004</v>
      </c>
      <c r="L21" s="153">
        <f t="shared" si="4"/>
        <v>1.1500000000000001</v>
      </c>
      <c r="M21" s="21">
        <f t="shared" si="5"/>
        <v>6.15</v>
      </c>
      <c r="N21" s="9">
        <f t="shared" si="6"/>
        <v>1.2915000000000001</v>
      </c>
      <c r="O21" s="22">
        <f t="shared" si="7"/>
        <v>7.4415000000000004</v>
      </c>
    </row>
    <row r="22" spans="1:15" x14ac:dyDescent="0.3">
      <c r="A22" s="16" t="s">
        <v>252</v>
      </c>
      <c r="B22" s="17" t="s">
        <v>1894</v>
      </c>
      <c r="C22" s="18" t="s">
        <v>1655</v>
      </c>
      <c r="D22" s="19">
        <v>5.3</v>
      </c>
      <c r="E22" s="20">
        <v>0.25</v>
      </c>
      <c r="F22" s="162">
        <v>0.25</v>
      </c>
      <c r="G22" s="2">
        <f t="shared" si="0"/>
        <v>1.325</v>
      </c>
      <c r="H22" s="21">
        <f t="shared" si="1"/>
        <v>6.625</v>
      </c>
      <c r="I22" s="9">
        <f t="shared" si="2"/>
        <v>1.3912499999999999</v>
      </c>
      <c r="J22" s="22">
        <f t="shared" si="3"/>
        <v>8.0162499999999994</v>
      </c>
      <c r="L22" s="153">
        <f t="shared" si="4"/>
        <v>1.325</v>
      </c>
      <c r="M22" s="21">
        <f t="shared" si="5"/>
        <v>6.625</v>
      </c>
      <c r="N22" s="9">
        <f t="shared" si="6"/>
        <v>1.3912499999999999</v>
      </c>
      <c r="O22" s="22">
        <f t="shared" si="7"/>
        <v>8.0162499999999994</v>
      </c>
    </row>
    <row r="23" spans="1:15" x14ac:dyDescent="0.3">
      <c r="A23" s="16" t="s">
        <v>253</v>
      </c>
      <c r="B23" s="17" t="s">
        <v>1895</v>
      </c>
      <c r="C23" s="18" t="s">
        <v>1655</v>
      </c>
      <c r="D23" s="19">
        <v>5.6</v>
      </c>
      <c r="E23" s="20">
        <v>0.27</v>
      </c>
      <c r="F23" s="162">
        <v>0.27</v>
      </c>
      <c r="G23" s="2">
        <f t="shared" si="0"/>
        <v>1.512</v>
      </c>
      <c r="H23" s="21">
        <f t="shared" si="1"/>
        <v>7.1120000000000001</v>
      </c>
      <c r="I23" s="9">
        <f t="shared" si="2"/>
        <v>1.49352</v>
      </c>
      <c r="J23" s="22">
        <f t="shared" si="3"/>
        <v>8.6055200000000003</v>
      </c>
      <c r="L23" s="153">
        <f t="shared" si="4"/>
        <v>1.512</v>
      </c>
      <c r="M23" s="21">
        <f t="shared" si="5"/>
        <v>7.1120000000000001</v>
      </c>
      <c r="N23" s="9">
        <f t="shared" si="6"/>
        <v>1.49352</v>
      </c>
      <c r="O23" s="22">
        <f t="shared" si="7"/>
        <v>8.6055200000000003</v>
      </c>
    </row>
    <row r="24" spans="1:15" x14ac:dyDescent="0.3">
      <c r="A24" s="16" t="s">
        <v>265</v>
      </c>
      <c r="B24" s="17" t="s">
        <v>1896</v>
      </c>
      <c r="C24" s="18" t="s">
        <v>1655</v>
      </c>
      <c r="D24" s="19">
        <v>5.9</v>
      </c>
      <c r="E24" s="20">
        <v>0.28999999999999998</v>
      </c>
      <c r="F24" s="162">
        <v>0.28999999999999998</v>
      </c>
      <c r="G24" s="2">
        <f t="shared" si="0"/>
        <v>1.7110000000000001</v>
      </c>
      <c r="H24" s="21">
        <f t="shared" si="1"/>
        <v>7.6110000000000007</v>
      </c>
      <c r="I24" s="9">
        <f t="shared" si="2"/>
        <v>1.5983100000000001</v>
      </c>
      <c r="J24" s="22">
        <f t="shared" si="3"/>
        <v>9.2093100000000003</v>
      </c>
      <c r="L24" s="153">
        <f t="shared" si="4"/>
        <v>1.7110000000000001</v>
      </c>
      <c r="M24" s="21">
        <f t="shared" si="5"/>
        <v>7.6110000000000007</v>
      </c>
      <c r="N24" s="9">
        <f t="shared" si="6"/>
        <v>1.5983100000000001</v>
      </c>
      <c r="O24" s="22">
        <f t="shared" si="7"/>
        <v>9.2093100000000003</v>
      </c>
    </row>
    <row r="25" spans="1:15" x14ac:dyDescent="0.3">
      <c r="A25" s="16" t="s">
        <v>329</v>
      </c>
      <c r="B25" s="17" t="s">
        <v>1897</v>
      </c>
      <c r="C25" s="18" t="s">
        <v>1655</v>
      </c>
      <c r="D25" s="19">
        <v>6.2</v>
      </c>
      <c r="E25" s="20">
        <v>0.31</v>
      </c>
      <c r="F25" s="162">
        <v>0.31</v>
      </c>
      <c r="G25" s="2">
        <f t="shared" si="0"/>
        <v>1.9219999999999999</v>
      </c>
      <c r="H25" s="21">
        <f t="shared" si="1"/>
        <v>8.1219999999999999</v>
      </c>
      <c r="I25" s="9">
        <f t="shared" si="2"/>
        <v>1.7056199999999999</v>
      </c>
      <c r="J25" s="22">
        <f t="shared" si="3"/>
        <v>9.8276199999999996</v>
      </c>
      <c r="L25" s="153">
        <f t="shared" si="4"/>
        <v>1.9219999999999999</v>
      </c>
      <c r="M25" s="21">
        <f t="shared" si="5"/>
        <v>8.1219999999999999</v>
      </c>
      <c r="N25" s="9">
        <f t="shared" si="6"/>
        <v>1.7056199999999999</v>
      </c>
      <c r="O25" s="22">
        <f t="shared" si="7"/>
        <v>9.8276199999999996</v>
      </c>
    </row>
    <row r="26" spans="1:15" x14ac:dyDescent="0.3">
      <c r="A26" s="16" t="s">
        <v>383</v>
      </c>
      <c r="B26" s="17" t="s">
        <v>1898</v>
      </c>
      <c r="C26" s="18" t="s">
        <v>1655</v>
      </c>
      <c r="D26" s="19">
        <v>6.5</v>
      </c>
      <c r="E26" s="20">
        <v>0.33</v>
      </c>
      <c r="F26" s="162">
        <v>0.33</v>
      </c>
      <c r="G26" s="2">
        <f t="shared" si="0"/>
        <v>2.145</v>
      </c>
      <c r="H26" s="21">
        <f t="shared" si="1"/>
        <v>8.6449999999999996</v>
      </c>
      <c r="I26" s="9">
        <f t="shared" si="2"/>
        <v>1.8154499999999998</v>
      </c>
      <c r="J26" s="22">
        <f t="shared" si="3"/>
        <v>10.46045</v>
      </c>
      <c r="L26" s="153">
        <f t="shared" si="4"/>
        <v>2.145</v>
      </c>
      <c r="M26" s="21">
        <f t="shared" si="5"/>
        <v>8.6449999999999996</v>
      </c>
      <c r="N26" s="9">
        <f t="shared" si="6"/>
        <v>1.8154499999999998</v>
      </c>
      <c r="O26" s="22">
        <f t="shared" si="7"/>
        <v>10.46045</v>
      </c>
    </row>
    <row r="27" spans="1:15" x14ac:dyDescent="0.3">
      <c r="A27" s="16" t="s">
        <v>1899</v>
      </c>
      <c r="B27" s="17" t="s">
        <v>1900</v>
      </c>
      <c r="C27" s="18" t="s">
        <v>1655</v>
      </c>
      <c r="D27" s="19">
        <v>6.8</v>
      </c>
      <c r="E27" s="20">
        <v>0.35</v>
      </c>
      <c r="F27" s="162">
        <v>0.35</v>
      </c>
      <c r="G27" s="2">
        <f t="shared" si="0"/>
        <v>2.38</v>
      </c>
      <c r="H27" s="21">
        <f t="shared" si="1"/>
        <v>9.18</v>
      </c>
      <c r="I27" s="9">
        <f t="shared" si="2"/>
        <v>1.9278</v>
      </c>
      <c r="J27" s="22">
        <f t="shared" si="3"/>
        <v>11.107799999999999</v>
      </c>
      <c r="L27" s="153">
        <f t="shared" si="4"/>
        <v>2.38</v>
      </c>
      <c r="M27" s="21">
        <f t="shared" si="5"/>
        <v>9.18</v>
      </c>
      <c r="N27" s="9">
        <f t="shared" si="6"/>
        <v>1.9278</v>
      </c>
      <c r="O27" s="22">
        <f t="shared" si="7"/>
        <v>11.107799999999999</v>
      </c>
    </row>
    <row r="28" spans="1:15" x14ac:dyDescent="0.3">
      <c r="A28" s="16" t="s">
        <v>1901</v>
      </c>
      <c r="B28" s="17" t="s">
        <v>1902</v>
      </c>
      <c r="C28" s="18" t="s">
        <v>1655</v>
      </c>
      <c r="D28" s="19">
        <v>7.1</v>
      </c>
      <c r="E28" s="20">
        <v>0.37</v>
      </c>
      <c r="F28" s="162">
        <v>0.37</v>
      </c>
      <c r="G28" s="2">
        <f t="shared" si="0"/>
        <v>2.6269999999999998</v>
      </c>
      <c r="H28" s="21">
        <f t="shared" si="1"/>
        <v>9.7270000000000003</v>
      </c>
      <c r="I28" s="9">
        <f t="shared" si="2"/>
        <v>2.0426700000000002</v>
      </c>
      <c r="J28" s="22">
        <f t="shared" si="3"/>
        <v>11.769670000000001</v>
      </c>
      <c r="L28" s="153">
        <f t="shared" si="4"/>
        <v>2.6269999999999998</v>
      </c>
      <c r="M28" s="21">
        <f t="shared" si="5"/>
        <v>9.7270000000000003</v>
      </c>
      <c r="N28" s="9">
        <f t="shared" si="6"/>
        <v>2.0426700000000002</v>
      </c>
      <c r="O28" s="22">
        <f t="shared" si="7"/>
        <v>11.769670000000001</v>
      </c>
    </row>
    <row r="29" spans="1:15" x14ac:dyDescent="0.3">
      <c r="A29" s="16" t="s">
        <v>1903</v>
      </c>
      <c r="B29" s="17" t="s">
        <v>1904</v>
      </c>
      <c r="C29" s="18" t="s">
        <v>1655</v>
      </c>
      <c r="D29" s="19">
        <v>7.4</v>
      </c>
      <c r="E29" s="20">
        <v>0.39</v>
      </c>
      <c r="F29" s="162">
        <v>0.39</v>
      </c>
      <c r="G29" s="2">
        <f t="shared" si="0"/>
        <v>2.8860000000000001</v>
      </c>
      <c r="H29" s="21">
        <f t="shared" si="1"/>
        <v>10.286000000000001</v>
      </c>
      <c r="I29" s="9">
        <f t="shared" si="2"/>
        <v>2.1600600000000001</v>
      </c>
      <c r="J29" s="22">
        <f t="shared" si="3"/>
        <v>12.446060000000001</v>
      </c>
      <c r="L29" s="153">
        <f t="shared" si="4"/>
        <v>2.8860000000000001</v>
      </c>
      <c r="M29" s="21">
        <f t="shared" si="5"/>
        <v>10.286000000000001</v>
      </c>
      <c r="N29" s="9">
        <f t="shared" si="6"/>
        <v>2.1600600000000001</v>
      </c>
      <c r="O29" s="22">
        <f t="shared" si="7"/>
        <v>12.446060000000001</v>
      </c>
    </row>
    <row r="30" spans="1:15" x14ac:dyDescent="0.3">
      <c r="A30" s="16" t="s">
        <v>1905</v>
      </c>
      <c r="B30" s="17" t="s">
        <v>1906</v>
      </c>
      <c r="C30" s="18" t="s">
        <v>1655</v>
      </c>
      <c r="D30" s="19">
        <v>7.7</v>
      </c>
      <c r="E30" s="20">
        <v>0.41</v>
      </c>
      <c r="F30" s="162">
        <v>0.41</v>
      </c>
      <c r="G30" s="2">
        <f t="shared" si="0"/>
        <v>3.157</v>
      </c>
      <c r="H30" s="21">
        <f t="shared" si="1"/>
        <v>10.856999999999999</v>
      </c>
      <c r="I30" s="9">
        <f t="shared" si="2"/>
        <v>2.2799699999999996</v>
      </c>
      <c r="J30" s="22">
        <f t="shared" si="3"/>
        <v>13.136969999999998</v>
      </c>
      <c r="L30" s="153">
        <f t="shared" si="4"/>
        <v>3.157</v>
      </c>
      <c r="M30" s="21">
        <f t="shared" si="5"/>
        <v>10.856999999999999</v>
      </c>
      <c r="N30" s="9">
        <f t="shared" si="6"/>
        <v>2.2799699999999996</v>
      </c>
      <c r="O30" s="22">
        <f t="shared" si="7"/>
        <v>13.136969999999998</v>
      </c>
    </row>
    <row r="31" spans="1:15" x14ac:dyDescent="0.3">
      <c r="A31" s="16" t="s">
        <v>1907</v>
      </c>
      <c r="B31" s="17" t="s">
        <v>1908</v>
      </c>
      <c r="C31" s="18" t="s">
        <v>1655</v>
      </c>
      <c r="D31" s="19">
        <v>8</v>
      </c>
      <c r="E31" s="20">
        <v>0.43</v>
      </c>
      <c r="F31" s="162">
        <v>0.43</v>
      </c>
      <c r="G31" s="2">
        <f t="shared" si="0"/>
        <v>3.44</v>
      </c>
      <c r="H31" s="21">
        <f t="shared" si="1"/>
        <v>11.44</v>
      </c>
      <c r="I31" s="9">
        <f t="shared" si="2"/>
        <v>2.4023999999999996</v>
      </c>
      <c r="J31" s="22">
        <f t="shared" si="3"/>
        <v>13.8424</v>
      </c>
      <c r="L31" s="153">
        <f t="shared" si="4"/>
        <v>3.44</v>
      </c>
      <c r="M31" s="21">
        <f t="shared" si="5"/>
        <v>11.44</v>
      </c>
      <c r="N31" s="9">
        <f t="shared" si="6"/>
        <v>2.4023999999999996</v>
      </c>
      <c r="O31" s="22">
        <f t="shared" si="7"/>
        <v>13.8424</v>
      </c>
    </row>
    <row r="32" spans="1:15" x14ac:dyDescent="0.3">
      <c r="A32" s="16" t="s">
        <v>1909</v>
      </c>
      <c r="B32" s="17" t="s">
        <v>1910</v>
      </c>
      <c r="C32" s="18" t="s">
        <v>1655</v>
      </c>
      <c r="D32" s="19">
        <v>8.3000000000000096</v>
      </c>
      <c r="E32" s="20">
        <v>0.45</v>
      </c>
      <c r="F32" s="162">
        <v>0.45</v>
      </c>
      <c r="G32" s="2">
        <f t="shared" si="0"/>
        <v>3.7350000000000043</v>
      </c>
      <c r="H32" s="21">
        <f t="shared" si="1"/>
        <v>12.035000000000014</v>
      </c>
      <c r="I32" s="9">
        <f t="shared" si="2"/>
        <v>2.5273500000000029</v>
      </c>
      <c r="J32" s="22">
        <f t="shared" si="3"/>
        <v>14.562350000000016</v>
      </c>
      <c r="L32" s="153">
        <f t="shared" si="4"/>
        <v>3.7350000000000043</v>
      </c>
      <c r="M32" s="21">
        <f t="shared" si="5"/>
        <v>12.035000000000014</v>
      </c>
      <c r="N32" s="9">
        <f t="shared" si="6"/>
        <v>2.5273500000000029</v>
      </c>
      <c r="O32" s="22">
        <f t="shared" si="7"/>
        <v>14.562350000000016</v>
      </c>
    </row>
    <row r="33" spans="1:15" x14ac:dyDescent="0.3">
      <c r="A33" s="16" t="s">
        <v>1911</v>
      </c>
      <c r="B33" s="17" t="s">
        <v>1912</v>
      </c>
      <c r="C33" s="18" t="s">
        <v>1655</v>
      </c>
      <c r="D33" s="19">
        <v>8.6000000000000103</v>
      </c>
      <c r="E33" s="20">
        <v>0.47</v>
      </c>
      <c r="F33" s="162">
        <v>0.47</v>
      </c>
      <c r="G33" s="2">
        <f t="shared" si="0"/>
        <v>4.0420000000000043</v>
      </c>
      <c r="H33" s="21">
        <f t="shared" si="1"/>
        <v>12.642000000000014</v>
      </c>
      <c r="I33" s="9">
        <f t="shared" si="2"/>
        <v>2.6548200000000026</v>
      </c>
      <c r="J33" s="22">
        <f t="shared" si="3"/>
        <v>15.296820000000016</v>
      </c>
      <c r="L33" s="153">
        <f t="shared" si="4"/>
        <v>4.0420000000000043</v>
      </c>
      <c r="M33" s="21">
        <f t="shared" si="5"/>
        <v>12.642000000000014</v>
      </c>
      <c r="N33" s="9">
        <f t="shared" si="6"/>
        <v>2.6548200000000026</v>
      </c>
      <c r="O33" s="22">
        <f t="shared" si="7"/>
        <v>15.296820000000016</v>
      </c>
    </row>
    <row r="34" spans="1:15" x14ac:dyDescent="0.3">
      <c r="A34" s="16" t="s">
        <v>1913</v>
      </c>
      <c r="B34" s="17" t="s">
        <v>1914</v>
      </c>
      <c r="C34" s="18" t="s">
        <v>1655</v>
      </c>
      <c r="D34" s="19">
        <v>8.9000000000000092</v>
      </c>
      <c r="E34" s="20">
        <v>0.49</v>
      </c>
      <c r="F34" s="162">
        <v>0.49</v>
      </c>
      <c r="G34" s="2">
        <f t="shared" si="0"/>
        <v>4.3610000000000042</v>
      </c>
      <c r="H34" s="21">
        <f t="shared" si="1"/>
        <v>13.261000000000013</v>
      </c>
      <c r="I34" s="9">
        <f t="shared" si="2"/>
        <v>2.7848100000000029</v>
      </c>
      <c r="J34" s="22">
        <f t="shared" si="3"/>
        <v>16.045810000000017</v>
      </c>
      <c r="L34" s="153">
        <f t="shared" si="4"/>
        <v>4.3610000000000042</v>
      </c>
      <c r="M34" s="21">
        <f t="shared" si="5"/>
        <v>13.261000000000013</v>
      </c>
      <c r="N34" s="9">
        <f t="shared" si="6"/>
        <v>2.7848100000000029</v>
      </c>
      <c r="O34" s="22">
        <f t="shared" si="7"/>
        <v>16.045810000000017</v>
      </c>
    </row>
    <row r="35" spans="1:15" x14ac:dyDescent="0.3">
      <c r="A35" s="16" t="s">
        <v>1915</v>
      </c>
      <c r="B35" s="17" t="s">
        <v>1916</v>
      </c>
      <c r="C35" s="18" t="s">
        <v>1655</v>
      </c>
      <c r="D35" s="19">
        <v>9.2000000000000099</v>
      </c>
      <c r="E35" s="20">
        <v>0.51</v>
      </c>
      <c r="F35" s="162">
        <v>0.51</v>
      </c>
      <c r="G35" s="2">
        <f t="shared" si="0"/>
        <v>4.6920000000000055</v>
      </c>
      <c r="H35" s="21">
        <f t="shared" si="1"/>
        <v>13.892000000000015</v>
      </c>
      <c r="I35" s="9">
        <f t="shared" si="2"/>
        <v>2.9173200000000032</v>
      </c>
      <c r="J35" s="22">
        <f t="shared" si="3"/>
        <v>16.809320000000017</v>
      </c>
      <c r="L35" s="153">
        <f t="shared" si="4"/>
        <v>4.6920000000000055</v>
      </c>
      <c r="M35" s="21">
        <f t="shared" si="5"/>
        <v>13.892000000000015</v>
      </c>
      <c r="N35" s="9">
        <f t="shared" si="6"/>
        <v>2.9173200000000032</v>
      </c>
      <c r="O35" s="22">
        <f t="shared" si="7"/>
        <v>16.809320000000017</v>
      </c>
    </row>
    <row r="36" spans="1:15" x14ac:dyDescent="0.3">
      <c r="A36" s="16" t="s">
        <v>1917</v>
      </c>
      <c r="B36" s="17" t="s">
        <v>1918</v>
      </c>
      <c r="C36" s="18" t="s">
        <v>1655</v>
      </c>
      <c r="D36" s="19">
        <v>9.5000000000000107</v>
      </c>
      <c r="E36" s="20">
        <v>0.53</v>
      </c>
      <c r="F36" s="162">
        <v>0.53</v>
      </c>
      <c r="G36" s="2">
        <f t="shared" si="0"/>
        <v>5.0350000000000055</v>
      </c>
      <c r="H36" s="21">
        <f t="shared" si="1"/>
        <v>14.535000000000016</v>
      </c>
      <c r="I36" s="9">
        <f t="shared" si="2"/>
        <v>3.0523500000000032</v>
      </c>
      <c r="J36" s="22">
        <f t="shared" si="3"/>
        <v>17.587350000000018</v>
      </c>
      <c r="L36" s="153">
        <f t="shared" si="4"/>
        <v>5.0350000000000055</v>
      </c>
      <c r="M36" s="21">
        <f t="shared" si="5"/>
        <v>14.535000000000016</v>
      </c>
      <c r="N36" s="9">
        <f t="shared" si="6"/>
        <v>3.0523500000000032</v>
      </c>
      <c r="O36" s="22">
        <f t="shared" si="7"/>
        <v>17.587350000000018</v>
      </c>
    </row>
    <row r="37" spans="1:15" x14ac:dyDescent="0.3">
      <c r="F37" s="1"/>
      <c r="L37" s="154"/>
      <c r="M37" s="154"/>
      <c r="N37" s="154"/>
      <c r="O37" s="154"/>
    </row>
    <row r="38" spans="1:15" x14ac:dyDescent="0.3">
      <c r="A38" s="23" t="s">
        <v>9</v>
      </c>
      <c r="B38" s="24" t="s">
        <v>2225</v>
      </c>
      <c r="C38" s="25" t="s">
        <v>1655</v>
      </c>
      <c r="D38" s="26">
        <v>15</v>
      </c>
      <c r="E38" s="27">
        <v>0.45</v>
      </c>
      <c r="F38" s="163">
        <v>0.55000000000000004</v>
      </c>
      <c r="G38" s="2">
        <f t="shared" ref="G38:G45" si="8">D38*E38</f>
        <v>6.75</v>
      </c>
      <c r="H38" s="28">
        <f t="shared" ref="H38" si="9">G38+D38</f>
        <v>21.75</v>
      </c>
      <c r="I38" s="9">
        <f t="shared" ref="I38:I45" si="10">H38*0.21</f>
        <v>4.5674999999999999</v>
      </c>
      <c r="J38" s="29">
        <f t="shared" ref="J38" si="11">H38+I38</f>
        <v>26.317499999999999</v>
      </c>
      <c r="L38" s="153">
        <f t="shared" ref="L38:L41" si="12">D38*F38</f>
        <v>8.25</v>
      </c>
      <c r="M38" s="28">
        <f t="shared" ref="M38:M41" si="13">D38+L38</f>
        <v>23.25</v>
      </c>
      <c r="N38" s="9">
        <f t="shared" ref="N38:N45" si="14">M38*0.21</f>
        <v>4.8824999999999994</v>
      </c>
      <c r="O38" s="29">
        <f t="shared" ref="O38:O41" si="15">M38+N38</f>
        <v>28.1325</v>
      </c>
    </row>
    <row r="39" spans="1:15" x14ac:dyDescent="0.3">
      <c r="A39" s="23" t="s">
        <v>8</v>
      </c>
      <c r="B39" s="24" t="s">
        <v>2226</v>
      </c>
      <c r="C39" s="25" t="s">
        <v>1655</v>
      </c>
      <c r="D39" s="26">
        <v>16</v>
      </c>
      <c r="E39" s="27">
        <v>0.4</v>
      </c>
      <c r="F39" s="163">
        <v>0.5</v>
      </c>
      <c r="G39" s="2">
        <f t="shared" si="8"/>
        <v>6.4</v>
      </c>
      <c r="H39" s="28">
        <f>G39+D39</f>
        <v>22.4</v>
      </c>
      <c r="I39" s="9">
        <f t="shared" si="10"/>
        <v>4.7039999999999997</v>
      </c>
      <c r="J39" s="29">
        <f>H39+I39</f>
        <v>27.103999999999999</v>
      </c>
      <c r="L39" s="153">
        <f t="shared" si="12"/>
        <v>8</v>
      </c>
      <c r="M39" s="28">
        <f t="shared" si="13"/>
        <v>24</v>
      </c>
      <c r="N39" s="9">
        <f t="shared" si="14"/>
        <v>5.04</v>
      </c>
      <c r="O39" s="29">
        <f t="shared" si="15"/>
        <v>29.04</v>
      </c>
    </row>
    <row r="40" spans="1:15" x14ac:dyDescent="0.3">
      <c r="A40" s="23" t="s">
        <v>464</v>
      </c>
      <c r="B40" s="24" t="s">
        <v>2227</v>
      </c>
      <c r="C40" s="25" t="s">
        <v>1655</v>
      </c>
      <c r="D40" s="26">
        <v>17</v>
      </c>
      <c r="E40" s="27">
        <v>0.35</v>
      </c>
      <c r="F40" s="163">
        <v>0.45</v>
      </c>
      <c r="G40" s="2">
        <f t="shared" si="8"/>
        <v>5.9499999999999993</v>
      </c>
      <c r="H40" s="28">
        <f>G40+D40</f>
        <v>22.95</v>
      </c>
      <c r="I40" s="9">
        <f t="shared" si="10"/>
        <v>4.8194999999999997</v>
      </c>
      <c r="J40" s="29">
        <f>H40+I40</f>
        <v>27.769500000000001</v>
      </c>
      <c r="L40" s="153">
        <f t="shared" si="12"/>
        <v>7.65</v>
      </c>
      <c r="M40" s="28">
        <f t="shared" si="13"/>
        <v>24.65</v>
      </c>
      <c r="N40" s="9">
        <f t="shared" si="14"/>
        <v>5.1764999999999999</v>
      </c>
      <c r="O40" s="29">
        <f t="shared" si="15"/>
        <v>29.826499999999999</v>
      </c>
    </row>
    <row r="41" spans="1:15" x14ac:dyDescent="0.3">
      <c r="A41" s="23" t="s">
        <v>643</v>
      </c>
      <c r="B41" s="24" t="s">
        <v>1919</v>
      </c>
      <c r="C41" s="25" t="s">
        <v>1655</v>
      </c>
      <c r="D41" s="26">
        <v>18</v>
      </c>
      <c r="E41" s="27">
        <v>0.3</v>
      </c>
      <c r="F41" s="163">
        <v>0.4</v>
      </c>
      <c r="G41" s="2">
        <f t="shared" si="8"/>
        <v>5.3999999999999995</v>
      </c>
      <c r="H41" s="28">
        <f>G41+D41</f>
        <v>23.4</v>
      </c>
      <c r="I41" s="9">
        <f t="shared" si="10"/>
        <v>4.9139999999999997</v>
      </c>
      <c r="J41" s="29">
        <f>H41+I41</f>
        <v>28.314</v>
      </c>
      <c r="L41" s="153">
        <f t="shared" si="12"/>
        <v>7.2</v>
      </c>
      <c r="M41" s="28">
        <f t="shared" si="13"/>
        <v>25.2</v>
      </c>
      <c r="N41" s="9">
        <f t="shared" si="14"/>
        <v>5.2919999999999998</v>
      </c>
      <c r="O41" s="29">
        <f t="shared" si="15"/>
        <v>30.491999999999997</v>
      </c>
    </row>
    <row r="42" spans="1:15" x14ac:dyDescent="0.3">
      <c r="A42" s="23" t="s">
        <v>12</v>
      </c>
      <c r="B42" s="24" t="s">
        <v>2230</v>
      </c>
      <c r="C42" s="25" t="s">
        <v>1655</v>
      </c>
      <c r="D42" s="26">
        <v>19</v>
      </c>
      <c r="E42" s="27">
        <v>0.25</v>
      </c>
      <c r="F42" s="163">
        <v>0.35</v>
      </c>
      <c r="G42" s="2">
        <f t="shared" si="8"/>
        <v>4.75</v>
      </c>
      <c r="H42" s="28">
        <f t="shared" ref="H42" si="16">G42+D42</f>
        <v>23.75</v>
      </c>
      <c r="I42" s="9">
        <f t="shared" si="10"/>
        <v>4.9874999999999998</v>
      </c>
      <c r="J42" s="29">
        <f t="shared" ref="J42" si="17">H42+I42</f>
        <v>28.737500000000001</v>
      </c>
      <c r="L42" s="153">
        <f>D42*F42</f>
        <v>6.6499999999999995</v>
      </c>
      <c r="M42" s="28">
        <f>D42+L42</f>
        <v>25.65</v>
      </c>
      <c r="N42" s="9">
        <f t="shared" si="14"/>
        <v>5.3864999999999998</v>
      </c>
      <c r="O42" s="29">
        <f>M42+N42</f>
        <v>31.036499999999997</v>
      </c>
    </row>
    <row r="43" spans="1:15" x14ac:dyDescent="0.3">
      <c r="A43" s="23" t="s">
        <v>19</v>
      </c>
      <c r="B43" s="24" t="s">
        <v>2229</v>
      </c>
      <c r="C43" s="25" t="s">
        <v>1655</v>
      </c>
      <c r="D43" s="26">
        <v>20</v>
      </c>
      <c r="E43" s="27">
        <v>0.2</v>
      </c>
      <c r="F43" s="163">
        <v>0.3</v>
      </c>
      <c r="G43" s="2">
        <f t="shared" si="8"/>
        <v>4</v>
      </c>
      <c r="H43" s="28">
        <f>G43+D43</f>
        <v>24</v>
      </c>
      <c r="I43" s="9">
        <f t="shared" si="10"/>
        <v>5.04</v>
      </c>
      <c r="J43" s="29">
        <f>H43+I43</f>
        <v>29.04</v>
      </c>
      <c r="L43" s="153">
        <f>D43*F43</f>
        <v>6</v>
      </c>
      <c r="M43" s="28">
        <f>D43+L43</f>
        <v>26</v>
      </c>
      <c r="N43" s="9">
        <f t="shared" si="14"/>
        <v>5.46</v>
      </c>
      <c r="O43" s="29">
        <f>M43+N43</f>
        <v>31.46</v>
      </c>
    </row>
    <row r="44" spans="1:15" x14ac:dyDescent="0.3">
      <c r="A44" s="23" t="s">
        <v>160</v>
      </c>
      <c r="B44" s="24" t="s">
        <v>2228</v>
      </c>
      <c r="C44" s="25" t="s">
        <v>1655</v>
      </c>
      <c r="D44" s="26">
        <v>21</v>
      </c>
      <c r="E44" s="27">
        <v>0.15</v>
      </c>
      <c r="F44" s="163">
        <v>0.25</v>
      </c>
      <c r="G44" s="2">
        <f t="shared" si="8"/>
        <v>3.15</v>
      </c>
      <c r="H44" s="28">
        <f>G44+D44</f>
        <v>24.15</v>
      </c>
      <c r="I44" s="9">
        <f t="shared" si="10"/>
        <v>5.0714999999999995</v>
      </c>
      <c r="J44" s="29">
        <f>H44+I44</f>
        <v>29.221499999999999</v>
      </c>
      <c r="L44" s="153">
        <f t="shared" ref="L44:L45" si="18">D44*F44</f>
        <v>5.25</v>
      </c>
      <c r="M44" s="28">
        <f t="shared" ref="M44:M45" si="19">D44+L44</f>
        <v>26.25</v>
      </c>
      <c r="N44" s="9">
        <f t="shared" si="14"/>
        <v>5.5125000000000002</v>
      </c>
      <c r="O44" s="29">
        <f t="shared" ref="O44:O45" si="20">M44+N44</f>
        <v>31.762499999999999</v>
      </c>
    </row>
    <row r="45" spans="1:15" x14ac:dyDescent="0.3">
      <c r="A45" s="23" t="s">
        <v>1229</v>
      </c>
      <c r="B45" s="24" t="s">
        <v>1920</v>
      </c>
      <c r="C45" s="25" t="s">
        <v>1655</v>
      </c>
      <c r="D45" s="26">
        <v>22</v>
      </c>
      <c r="E45" s="27">
        <v>0.1</v>
      </c>
      <c r="F45" s="163">
        <v>0.2</v>
      </c>
      <c r="G45" s="2">
        <f t="shared" si="8"/>
        <v>2.2000000000000002</v>
      </c>
      <c r="H45" s="28">
        <f>G45+D45</f>
        <v>24.2</v>
      </c>
      <c r="I45" s="9">
        <f t="shared" si="10"/>
        <v>5.0819999999999999</v>
      </c>
      <c r="J45" s="29">
        <f>H45+I45</f>
        <v>29.282</v>
      </c>
      <c r="L45" s="153">
        <f t="shared" si="18"/>
        <v>4.4000000000000004</v>
      </c>
      <c r="M45" s="28">
        <f t="shared" si="19"/>
        <v>26.4</v>
      </c>
      <c r="N45" s="9">
        <f t="shared" si="14"/>
        <v>5.5439999999999996</v>
      </c>
      <c r="O45" s="29">
        <f t="shared" si="20"/>
        <v>31.943999999999999</v>
      </c>
    </row>
    <row r="46" spans="1:15" x14ac:dyDescent="0.3">
      <c r="F46" s="1"/>
      <c r="L46" s="154"/>
      <c r="M46" s="154"/>
      <c r="N46" s="154"/>
      <c r="O46" s="154"/>
    </row>
    <row r="47" spans="1:15" x14ac:dyDescent="0.3">
      <c r="A47" s="31" t="s">
        <v>25</v>
      </c>
      <c r="B47" s="30" t="s">
        <v>1921</v>
      </c>
      <c r="C47" s="32" t="s">
        <v>1655</v>
      </c>
      <c r="D47" s="33">
        <v>3.64</v>
      </c>
      <c r="E47" s="34">
        <v>0.5</v>
      </c>
      <c r="F47" s="151">
        <v>0.1</v>
      </c>
      <c r="G47" s="2">
        <f t="shared" ref="G47:G57" si="21">D47*E47</f>
        <v>1.82</v>
      </c>
      <c r="H47" s="35">
        <f t="shared" ref="H47:H57" si="22">G47+D47</f>
        <v>5.46</v>
      </c>
      <c r="I47" s="9">
        <f t="shared" ref="I47:I57" si="23">H47*0.21</f>
        <v>1.1465999999999998</v>
      </c>
      <c r="J47" s="36">
        <f t="shared" ref="J47:J57" si="24">H47+I47</f>
        <v>6.6066000000000003</v>
      </c>
      <c r="L47" s="153">
        <f t="shared" ref="L47:L57" si="25">D47*F47</f>
        <v>0.36400000000000005</v>
      </c>
      <c r="M47" s="35">
        <f t="shared" ref="M47:M57" si="26">D47+L47</f>
        <v>4.0040000000000004</v>
      </c>
      <c r="N47" s="9">
        <f t="shared" ref="N47:N57" si="27">M47*0.21</f>
        <v>0.84084000000000003</v>
      </c>
      <c r="O47" s="36">
        <f t="shared" ref="O47:O57" si="28">M47+N47</f>
        <v>4.8448400000000005</v>
      </c>
    </row>
    <row r="48" spans="1:15" x14ac:dyDescent="0.3">
      <c r="A48" s="31" t="s">
        <v>26</v>
      </c>
      <c r="B48" s="30" t="s">
        <v>1922</v>
      </c>
      <c r="C48" s="32" t="s">
        <v>1655</v>
      </c>
      <c r="D48" s="33">
        <v>5.86</v>
      </c>
      <c r="E48" s="34">
        <v>0.5</v>
      </c>
      <c r="F48" s="151">
        <v>0.1</v>
      </c>
      <c r="G48" s="2">
        <f t="shared" si="21"/>
        <v>2.93</v>
      </c>
      <c r="H48" s="35">
        <f t="shared" si="22"/>
        <v>8.7900000000000009</v>
      </c>
      <c r="I48" s="9">
        <f t="shared" si="23"/>
        <v>1.8459000000000001</v>
      </c>
      <c r="J48" s="36">
        <f t="shared" si="24"/>
        <v>10.635900000000001</v>
      </c>
      <c r="L48" s="153">
        <f t="shared" si="25"/>
        <v>0.58600000000000008</v>
      </c>
      <c r="M48" s="35">
        <f t="shared" si="26"/>
        <v>6.4460000000000006</v>
      </c>
      <c r="N48" s="9">
        <f t="shared" si="27"/>
        <v>1.3536600000000001</v>
      </c>
      <c r="O48" s="36">
        <f t="shared" si="28"/>
        <v>7.7996600000000011</v>
      </c>
    </row>
    <row r="49" spans="1:30" x14ac:dyDescent="0.3">
      <c r="A49" s="31" t="s">
        <v>27</v>
      </c>
      <c r="B49" s="30" t="s">
        <v>1923</v>
      </c>
      <c r="C49" s="32" t="s">
        <v>1655</v>
      </c>
      <c r="D49" s="33">
        <v>8.08</v>
      </c>
      <c r="E49" s="34">
        <v>0.5</v>
      </c>
      <c r="F49" s="151">
        <v>0.1</v>
      </c>
      <c r="G49" s="2">
        <f t="shared" si="21"/>
        <v>4.04</v>
      </c>
      <c r="H49" s="35">
        <f t="shared" si="22"/>
        <v>12.120000000000001</v>
      </c>
      <c r="I49" s="9">
        <f t="shared" si="23"/>
        <v>2.5451999999999999</v>
      </c>
      <c r="J49" s="36">
        <f t="shared" si="24"/>
        <v>14.6652</v>
      </c>
      <c r="L49" s="153">
        <f t="shared" si="25"/>
        <v>0.80800000000000005</v>
      </c>
      <c r="M49" s="35">
        <f t="shared" si="26"/>
        <v>8.8879999999999999</v>
      </c>
      <c r="N49" s="9">
        <f t="shared" si="27"/>
        <v>1.8664799999999999</v>
      </c>
      <c r="O49" s="36">
        <f t="shared" si="28"/>
        <v>10.754479999999999</v>
      </c>
    </row>
    <row r="50" spans="1:30" x14ac:dyDescent="0.3">
      <c r="A50" s="31" t="s">
        <v>28</v>
      </c>
      <c r="B50" s="30" t="s">
        <v>1924</v>
      </c>
      <c r="C50" s="32" t="s">
        <v>1655</v>
      </c>
      <c r="D50" s="33">
        <v>10.3</v>
      </c>
      <c r="E50" s="34">
        <v>0.5</v>
      </c>
      <c r="F50" s="151">
        <v>0.1</v>
      </c>
      <c r="G50" s="2">
        <f t="shared" si="21"/>
        <v>5.15</v>
      </c>
      <c r="H50" s="35">
        <f t="shared" si="22"/>
        <v>15.450000000000001</v>
      </c>
      <c r="I50" s="9">
        <f t="shared" si="23"/>
        <v>3.2444999999999999</v>
      </c>
      <c r="J50" s="36">
        <f t="shared" si="24"/>
        <v>18.694500000000001</v>
      </c>
      <c r="L50" s="153">
        <f t="shared" si="25"/>
        <v>1.03</v>
      </c>
      <c r="M50" s="35">
        <f t="shared" si="26"/>
        <v>11.33</v>
      </c>
      <c r="N50" s="9">
        <f t="shared" si="27"/>
        <v>2.3792999999999997</v>
      </c>
      <c r="O50" s="36">
        <f t="shared" si="28"/>
        <v>13.709299999999999</v>
      </c>
    </row>
    <row r="51" spans="1:30" x14ac:dyDescent="0.3">
      <c r="A51" s="31" t="s">
        <v>99</v>
      </c>
      <c r="B51" s="30" t="s">
        <v>1925</v>
      </c>
      <c r="C51" s="32" t="s">
        <v>1655</v>
      </c>
      <c r="D51" s="33">
        <v>12.52</v>
      </c>
      <c r="E51" s="34">
        <v>0.5</v>
      </c>
      <c r="F51" s="151">
        <v>0.1</v>
      </c>
      <c r="G51" s="2">
        <f t="shared" si="21"/>
        <v>6.26</v>
      </c>
      <c r="H51" s="35">
        <f t="shared" si="22"/>
        <v>18.78</v>
      </c>
      <c r="I51" s="9">
        <f t="shared" si="23"/>
        <v>3.9438</v>
      </c>
      <c r="J51" s="36">
        <f t="shared" si="24"/>
        <v>22.723800000000001</v>
      </c>
      <c r="L51" s="153">
        <f t="shared" si="25"/>
        <v>1.252</v>
      </c>
      <c r="M51" s="35">
        <f t="shared" si="26"/>
        <v>13.772</v>
      </c>
      <c r="N51" s="9">
        <f t="shared" si="27"/>
        <v>2.8921199999999998</v>
      </c>
      <c r="O51" s="36">
        <f t="shared" si="28"/>
        <v>16.66412</v>
      </c>
      <c r="U51" s="1"/>
      <c r="AA51" s="154"/>
      <c r="AB51" s="154"/>
      <c r="AC51" s="154"/>
      <c r="AD51" s="154"/>
    </row>
    <row r="52" spans="1:30" x14ac:dyDescent="0.3">
      <c r="A52" s="31" t="s">
        <v>100</v>
      </c>
      <c r="B52" s="30" t="s">
        <v>1926</v>
      </c>
      <c r="C52" s="32" t="s">
        <v>1655</v>
      </c>
      <c r="D52" s="33">
        <v>14.74</v>
      </c>
      <c r="E52" s="34">
        <v>0.5</v>
      </c>
      <c r="F52" s="151">
        <v>0.1</v>
      </c>
      <c r="G52" s="2">
        <f t="shared" si="21"/>
        <v>7.37</v>
      </c>
      <c r="H52" s="35">
        <f t="shared" si="22"/>
        <v>22.11</v>
      </c>
      <c r="I52" s="9">
        <f t="shared" si="23"/>
        <v>4.6430999999999996</v>
      </c>
      <c r="J52" s="36">
        <f t="shared" si="24"/>
        <v>26.7531</v>
      </c>
      <c r="L52" s="153">
        <f t="shared" si="25"/>
        <v>1.4740000000000002</v>
      </c>
      <c r="M52" s="35">
        <f t="shared" si="26"/>
        <v>16.213999999999999</v>
      </c>
      <c r="N52" s="9">
        <f t="shared" si="27"/>
        <v>3.4049399999999994</v>
      </c>
      <c r="O52" s="36">
        <f t="shared" si="28"/>
        <v>19.618939999999998</v>
      </c>
    </row>
    <row r="53" spans="1:30" x14ac:dyDescent="0.3">
      <c r="A53" s="31" t="s">
        <v>194</v>
      </c>
      <c r="B53" s="30" t="s">
        <v>1927</v>
      </c>
      <c r="C53" s="32" t="s">
        <v>1655</v>
      </c>
      <c r="D53" s="33">
        <v>16.96</v>
      </c>
      <c r="E53" s="34">
        <v>0.5</v>
      </c>
      <c r="F53" s="151">
        <v>0.1</v>
      </c>
      <c r="G53" s="2">
        <f t="shared" si="21"/>
        <v>8.48</v>
      </c>
      <c r="H53" s="35">
        <f t="shared" si="22"/>
        <v>25.44</v>
      </c>
      <c r="I53" s="9">
        <f t="shared" si="23"/>
        <v>5.3424000000000005</v>
      </c>
      <c r="J53" s="36">
        <f t="shared" si="24"/>
        <v>30.782400000000003</v>
      </c>
      <c r="L53" s="153">
        <f t="shared" si="25"/>
        <v>1.6960000000000002</v>
      </c>
      <c r="M53" s="35">
        <f t="shared" si="26"/>
        <v>18.656000000000002</v>
      </c>
      <c r="N53" s="9">
        <f t="shared" si="27"/>
        <v>3.9177600000000004</v>
      </c>
      <c r="O53" s="36">
        <f t="shared" si="28"/>
        <v>22.573760000000004</v>
      </c>
    </row>
    <row r="54" spans="1:30" x14ac:dyDescent="0.3">
      <c r="A54" s="31" t="s">
        <v>1928</v>
      </c>
      <c r="B54" s="513" t="s">
        <v>1929</v>
      </c>
      <c r="C54" s="32" t="s">
        <v>1655</v>
      </c>
      <c r="D54" s="33">
        <v>19.18</v>
      </c>
      <c r="E54" s="34">
        <v>0.5</v>
      </c>
      <c r="F54" s="151">
        <v>0.1</v>
      </c>
      <c r="G54" s="2">
        <f t="shared" si="21"/>
        <v>9.59</v>
      </c>
      <c r="H54" s="35">
        <f t="shared" si="22"/>
        <v>28.77</v>
      </c>
      <c r="I54" s="9">
        <f t="shared" si="23"/>
        <v>6.0416999999999996</v>
      </c>
      <c r="J54" s="36">
        <f t="shared" si="24"/>
        <v>34.811700000000002</v>
      </c>
      <c r="L54" s="153">
        <f t="shared" si="25"/>
        <v>1.9180000000000001</v>
      </c>
      <c r="M54" s="35">
        <f t="shared" si="26"/>
        <v>21.097999999999999</v>
      </c>
      <c r="N54" s="9">
        <f t="shared" si="27"/>
        <v>4.43058</v>
      </c>
      <c r="O54" s="36">
        <f t="shared" si="28"/>
        <v>25.528579999999998</v>
      </c>
    </row>
    <row r="55" spans="1:30" x14ac:dyDescent="0.3">
      <c r="A55" s="31" t="s">
        <v>1930</v>
      </c>
      <c r="B55" s="513" t="s">
        <v>1931</v>
      </c>
      <c r="C55" s="32" t="s">
        <v>1655</v>
      </c>
      <c r="D55" s="33">
        <v>21.4</v>
      </c>
      <c r="E55" s="34">
        <v>0.5</v>
      </c>
      <c r="F55" s="151">
        <v>0.1</v>
      </c>
      <c r="G55" s="2">
        <f t="shared" si="21"/>
        <v>10.7</v>
      </c>
      <c r="H55" s="35">
        <f t="shared" si="22"/>
        <v>32.099999999999994</v>
      </c>
      <c r="I55" s="9">
        <f t="shared" si="23"/>
        <v>6.7409999999999988</v>
      </c>
      <c r="J55" s="36">
        <f t="shared" si="24"/>
        <v>38.840999999999994</v>
      </c>
      <c r="L55" s="153">
        <f t="shared" si="25"/>
        <v>2.14</v>
      </c>
      <c r="M55" s="35">
        <f t="shared" si="26"/>
        <v>23.54</v>
      </c>
      <c r="N55" s="9">
        <f t="shared" si="27"/>
        <v>4.9433999999999996</v>
      </c>
      <c r="O55" s="36">
        <f t="shared" si="28"/>
        <v>28.4834</v>
      </c>
    </row>
    <row r="56" spans="1:30" x14ac:dyDescent="0.3">
      <c r="A56" s="31" t="s">
        <v>1932</v>
      </c>
      <c r="B56" s="513" t="s">
        <v>1933</v>
      </c>
      <c r="C56" s="32" t="s">
        <v>1655</v>
      </c>
      <c r="D56" s="33">
        <v>23.62</v>
      </c>
      <c r="E56" s="34">
        <v>0.5</v>
      </c>
      <c r="F56" s="151">
        <v>0.1</v>
      </c>
      <c r="G56" s="2">
        <f t="shared" si="21"/>
        <v>11.81</v>
      </c>
      <c r="H56" s="35">
        <f t="shared" si="22"/>
        <v>35.43</v>
      </c>
      <c r="I56" s="9">
        <f t="shared" si="23"/>
        <v>7.4402999999999997</v>
      </c>
      <c r="J56" s="36">
        <f t="shared" si="24"/>
        <v>42.8703</v>
      </c>
      <c r="L56" s="153">
        <f t="shared" si="25"/>
        <v>2.3620000000000001</v>
      </c>
      <c r="M56" s="35">
        <f t="shared" si="26"/>
        <v>25.981999999999999</v>
      </c>
      <c r="N56" s="9">
        <f t="shared" si="27"/>
        <v>5.4562200000000001</v>
      </c>
      <c r="O56" s="36">
        <f t="shared" si="28"/>
        <v>31.438220000000001</v>
      </c>
    </row>
    <row r="57" spans="1:30" x14ac:dyDescent="0.3">
      <c r="A57" s="31" t="s">
        <v>1934</v>
      </c>
      <c r="B57" s="513" t="s">
        <v>1935</v>
      </c>
      <c r="C57" s="32" t="s">
        <v>1655</v>
      </c>
      <c r="D57" s="33">
        <v>25.84</v>
      </c>
      <c r="E57" s="34">
        <v>0.5</v>
      </c>
      <c r="F57" s="151">
        <v>0.1</v>
      </c>
      <c r="G57" s="2">
        <f t="shared" si="21"/>
        <v>12.92</v>
      </c>
      <c r="H57" s="35">
        <f t="shared" si="22"/>
        <v>38.76</v>
      </c>
      <c r="I57" s="9">
        <f t="shared" si="23"/>
        <v>8.1395999999999997</v>
      </c>
      <c r="J57" s="36">
        <f t="shared" si="24"/>
        <v>46.8996</v>
      </c>
      <c r="L57" s="153">
        <f t="shared" si="25"/>
        <v>2.5840000000000001</v>
      </c>
      <c r="M57" s="35">
        <f t="shared" si="26"/>
        <v>28.423999999999999</v>
      </c>
      <c r="N57" s="9">
        <f t="shared" si="27"/>
        <v>5.9690399999999997</v>
      </c>
      <c r="O57" s="36">
        <f t="shared" si="28"/>
        <v>34.393039999999999</v>
      </c>
    </row>
    <row r="58" spans="1:30" x14ac:dyDescent="0.3">
      <c r="F58" s="1"/>
      <c r="L58" s="154"/>
      <c r="M58" s="154"/>
      <c r="N58" s="154"/>
      <c r="O58" s="154"/>
    </row>
    <row r="59" spans="1:30" x14ac:dyDescent="0.3">
      <c r="A59" s="37" t="s">
        <v>30</v>
      </c>
      <c r="B59" s="38" t="s">
        <v>1936</v>
      </c>
      <c r="C59" s="39" t="s">
        <v>1655</v>
      </c>
      <c r="D59" s="43">
        <v>0.53</v>
      </c>
      <c r="E59" s="40">
        <v>0.1</v>
      </c>
      <c r="F59" s="164">
        <v>0.15</v>
      </c>
      <c r="G59" s="2">
        <f t="shared" ref="G59:G81" si="29">D59*E59</f>
        <v>5.3000000000000005E-2</v>
      </c>
      <c r="H59" s="41">
        <f>G59+D59</f>
        <v>0.58300000000000007</v>
      </c>
      <c r="I59" s="9">
        <f>H59*0.21</f>
        <v>0.12243000000000001</v>
      </c>
      <c r="J59" s="42">
        <f>H59+I59</f>
        <v>0.70543000000000011</v>
      </c>
      <c r="L59" s="153">
        <f t="shared" ref="L59:L122" si="30">D59*F59</f>
        <v>7.9500000000000001E-2</v>
      </c>
      <c r="M59" s="41">
        <f t="shared" ref="M59:M122" si="31">D59+L59</f>
        <v>0.60950000000000004</v>
      </c>
      <c r="N59" s="9">
        <f>M59*0.21</f>
        <v>0.127995</v>
      </c>
      <c r="O59" s="42">
        <f t="shared" ref="O59:O122" si="32">M59+N59</f>
        <v>0.73749500000000001</v>
      </c>
    </row>
    <row r="60" spans="1:30" x14ac:dyDescent="0.3">
      <c r="A60" s="37" t="s">
        <v>77</v>
      </c>
      <c r="B60" s="38" t="s">
        <v>1937</v>
      </c>
      <c r="C60" s="39" t="s">
        <v>1655</v>
      </c>
      <c r="D60" s="139">
        <v>0.55000000000000004</v>
      </c>
      <c r="E60" s="40">
        <v>0.1</v>
      </c>
      <c r="F60" s="164">
        <v>0.15</v>
      </c>
      <c r="G60" s="2">
        <f t="shared" si="29"/>
        <v>5.5000000000000007E-2</v>
      </c>
      <c r="H60" s="41">
        <f t="shared" ref="H60:H81" si="33">G60+D60</f>
        <v>0.60500000000000009</v>
      </c>
      <c r="I60" s="9">
        <f t="shared" ref="I60:I81" si="34">H60*0.21</f>
        <v>0.12705000000000002</v>
      </c>
      <c r="J60" s="42">
        <f t="shared" ref="J60:J81" si="35">H60+I60</f>
        <v>0.73205000000000009</v>
      </c>
      <c r="L60" s="153">
        <f t="shared" si="30"/>
        <v>8.2500000000000004E-2</v>
      </c>
      <c r="M60" s="41">
        <f t="shared" si="31"/>
        <v>0.63250000000000006</v>
      </c>
      <c r="N60" s="9">
        <f>M60*0.21</f>
        <v>0.132825</v>
      </c>
      <c r="O60" s="42">
        <f t="shared" si="32"/>
        <v>0.76532500000000003</v>
      </c>
    </row>
    <row r="61" spans="1:30" x14ac:dyDescent="0.3">
      <c r="A61" s="37" t="s">
        <v>81</v>
      </c>
      <c r="B61" s="38" t="s">
        <v>1938</v>
      </c>
      <c r="C61" s="39" t="s">
        <v>1655</v>
      </c>
      <c r="D61" s="43">
        <v>0.56999999999999995</v>
      </c>
      <c r="E61" s="40">
        <v>0.1</v>
      </c>
      <c r="F61" s="164">
        <v>0.15</v>
      </c>
      <c r="G61" s="2">
        <f t="shared" si="29"/>
        <v>5.6999999999999995E-2</v>
      </c>
      <c r="H61" s="41">
        <f t="shared" si="33"/>
        <v>0.627</v>
      </c>
      <c r="I61" s="9">
        <f t="shared" si="34"/>
        <v>0.13167000000000001</v>
      </c>
      <c r="J61" s="42">
        <f t="shared" si="35"/>
        <v>0.75866999999999996</v>
      </c>
      <c r="L61" s="153">
        <f t="shared" si="30"/>
        <v>8.5499999999999993E-2</v>
      </c>
      <c r="M61" s="41">
        <f t="shared" si="31"/>
        <v>0.65549999999999997</v>
      </c>
      <c r="N61" s="9">
        <f>M61*0.21</f>
        <v>0.137655</v>
      </c>
      <c r="O61" s="42">
        <f t="shared" si="32"/>
        <v>0.79315499999999994</v>
      </c>
    </row>
    <row r="62" spans="1:30" x14ac:dyDescent="0.3">
      <c r="A62" s="37" t="s">
        <v>110</v>
      </c>
      <c r="B62" s="38" t="s">
        <v>1939</v>
      </c>
      <c r="C62" s="39" t="s">
        <v>1655</v>
      </c>
      <c r="D62" s="139">
        <v>0.59</v>
      </c>
      <c r="E62" s="40">
        <v>0.1</v>
      </c>
      <c r="F62" s="164">
        <v>0.15</v>
      </c>
      <c r="G62" s="2">
        <f t="shared" si="29"/>
        <v>5.8999999999999997E-2</v>
      </c>
      <c r="H62" s="41">
        <f t="shared" si="33"/>
        <v>0.64900000000000002</v>
      </c>
      <c r="I62" s="9">
        <f t="shared" si="34"/>
        <v>0.13628999999999999</v>
      </c>
      <c r="J62" s="42">
        <f t="shared" si="35"/>
        <v>0.78529000000000004</v>
      </c>
      <c r="L62" s="153">
        <f t="shared" si="30"/>
        <v>8.8499999999999995E-2</v>
      </c>
      <c r="M62" s="41">
        <f t="shared" si="31"/>
        <v>0.67849999999999999</v>
      </c>
      <c r="N62" s="9">
        <f t="shared" ref="N62:N81" si="36">M62*0.21</f>
        <v>0.142485</v>
      </c>
      <c r="O62" s="42">
        <f t="shared" si="32"/>
        <v>0.82098499999999996</v>
      </c>
    </row>
    <row r="63" spans="1:30" x14ac:dyDescent="0.3">
      <c r="A63" s="37" t="s">
        <v>158</v>
      </c>
      <c r="B63" s="38" t="s">
        <v>1940</v>
      </c>
      <c r="C63" s="39" t="s">
        <v>1655</v>
      </c>
      <c r="D63" s="43">
        <v>0.61</v>
      </c>
      <c r="E63" s="40">
        <v>0.1</v>
      </c>
      <c r="F63" s="164">
        <v>0.15</v>
      </c>
      <c r="G63" s="2">
        <f t="shared" si="29"/>
        <v>6.0999999999999999E-2</v>
      </c>
      <c r="H63" s="41">
        <f t="shared" si="33"/>
        <v>0.67100000000000004</v>
      </c>
      <c r="I63" s="9">
        <f t="shared" si="34"/>
        <v>0.14091000000000001</v>
      </c>
      <c r="J63" s="42">
        <f t="shared" si="35"/>
        <v>0.81191000000000002</v>
      </c>
      <c r="L63" s="153">
        <f t="shared" si="30"/>
        <v>9.1499999999999998E-2</v>
      </c>
      <c r="M63" s="41">
        <f t="shared" si="31"/>
        <v>0.70150000000000001</v>
      </c>
      <c r="N63" s="9">
        <f t="shared" si="36"/>
        <v>0.147315</v>
      </c>
      <c r="O63" s="42">
        <f t="shared" si="32"/>
        <v>0.84881499999999999</v>
      </c>
    </row>
    <row r="64" spans="1:30" x14ac:dyDescent="0.3">
      <c r="A64" s="37" t="s">
        <v>171</v>
      </c>
      <c r="B64" s="38" t="s">
        <v>1941</v>
      </c>
      <c r="C64" s="39" t="s">
        <v>1655</v>
      </c>
      <c r="D64" s="139">
        <v>0.63</v>
      </c>
      <c r="E64" s="40">
        <v>0.1</v>
      </c>
      <c r="F64" s="164">
        <v>0.15</v>
      </c>
      <c r="G64" s="2">
        <f t="shared" si="29"/>
        <v>6.3E-2</v>
      </c>
      <c r="H64" s="41">
        <f t="shared" si="33"/>
        <v>0.69300000000000006</v>
      </c>
      <c r="I64" s="9">
        <f t="shared" si="34"/>
        <v>0.14553000000000002</v>
      </c>
      <c r="J64" s="42">
        <f t="shared" si="35"/>
        <v>0.83853000000000011</v>
      </c>
      <c r="L64" s="153">
        <f t="shared" si="30"/>
        <v>9.4500000000000001E-2</v>
      </c>
      <c r="M64" s="41">
        <f t="shared" si="31"/>
        <v>0.72450000000000003</v>
      </c>
      <c r="N64" s="9">
        <f t="shared" si="36"/>
        <v>0.152145</v>
      </c>
      <c r="O64" s="42">
        <f t="shared" si="32"/>
        <v>0.87664500000000001</v>
      </c>
    </row>
    <row r="65" spans="1:15" x14ac:dyDescent="0.3">
      <c r="A65" s="37" t="s">
        <v>243</v>
      </c>
      <c r="B65" s="38" t="s">
        <v>1942</v>
      </c>
      <c r="C65" s="39" t="s">
        <v>1655</v>
      </c>
      <c r="D65" s="43">
        <v>0.65</v>
      </c>
      <c r="E65" s="40">
        <v>0.1</v>
      </c>
      <c r="F65" s="164">
        <v>0.15</v>
      </c>
      <c r="G65" s="2">
        <f t="shared" si="29"/>
        <v>6.5000000000000002E-2</v>
      </c>
      <c r="H65" s="41">
        <f t="shared" si="33"/>
        <v>0.71500000000000008</v>
      </c>
      <c r="I65" s="9">
        <f t="shared" si="34"/>
        <v>0.15015000000000001</v>
      </c>
      <c r="J65" s="42">
        <f t="shared" si="35"/>
        <v>0.86515000000000009</v>
      </c>
      <c r="L65" s="153">
        <f t="shared" si="30"/>
        <v>9.7500000000000003E-2</v>
      </c>
      <c r="M65" s="41">
        <f t="shared" si="31"/>
        <v>0.74750000000000005</v>
      </c>
      <c r="N65" s="9">
        <f t="shared" si="36"/>
        <v>0.156975</v>
      </c>
      <c r="O65" s="42">
        <f t="shared" si="32"/>
        <v>0.90447500000000003</v>
      </c>
    </row>
    <row r="66" spans="1:15" x14ac:dyDescent="0.3">
      <c r="A66" s="37" t="s">
        <v>303</v>
      </c>
      <c r="B66" s="38" t="s">
        <v>1943</v>
      </c>
      <c r="C66" s="39" t="s">
        <v>1655</v>
      </c>
      <c r="D66" s="139">
        <v>0.67</v>
      </c>
      <c r="E66" s="40">
        <v>0.1</v>
      </c>
      <c r="F66" s="164">
        <v>0.15</v>
      </c>
      <c r="G66" s="2">
        <f t="shared" si="29"/>
        <v>6.7000000000000004E-2</v>
      </c>
      <c r="H66" s="41">
        <f t="shared" si="33"/>
        <v>0.7370000000000001</v>
      </c>
      <c r="I66" s="9">
        <f t="shared" si="34"/>
        <v>0.15477000000000002</v>
      </c>
      <c r="J66" s="42">
        <f t="shared" si="35"/>
        <v>0.89177000000000017</v>
      </c>
      <c r="L66" s="153">
        <f t="shared" si="30"/>
        <v>0.10050000000000001</v>
      </c>
      <c r="M66" s="41">
        <f t="shared" si="31"/>
        <v>0.77050000000000007</v>
      </c>
      <c r="N66" s="9">
        <f t="shared" si="36"/>
        <v>0.161805</v>
      </c>
      <c r="O66" s="42">
        <f t="shared" si="32"/>
        <v>0.93230500000000005</v>
      </c>
    </row>
    <row r="67" spans="1:15" x14ac:dyDescent="0.3">
      <c r="A67" s="37" t="s">
        <v>304</v>
      </c>
      <c r="B67" s="38" t="s">
        <v>1944</v>
      </c>
      <c r="C67" s="39" t="s">
        <v>1655</v>
      </c>
      <c r="D67" s="43">
        <v>0.69</v>
      </c>
      <c r="E67" s="40">
        <v>0.1</v>
      </c>
      <c r="F67" s="164">
        <v>0.15</v>
      </c>
      <c r="G67" s="2">
        <f t="shared" si="29"/>
        <v>6.8999999999999992E-2</v>
      </c>
      <c r="H67" s="41">
        <f t="shared" si="33"/>
        <v>0.7589999999999999</v>
      </c>
      <c r="I67" s="9">
        <f t="shared" si="34"/>
        <v>0.15938999999999998</v>
      </c>
      <c r="J67" s="42">
        <f t="shared" si="35"/>
        <v>0.91838999999999982</v>
      </c>
      <c r="L67" s="153">
        <f t="shared" si="30"/>
        <v>0.10349999999999999</v>
      </c>
      <c r="M67" s="41">
        <f t="shared" si="31"/>
        <v>0.79349999999999998</v>
      </c>
      <c r="N67" s="9">
        <f t="shared" si="36"/>
        <v>0.16663499999999998</v>
      </c>
      <c r="O67" s="42">
        <f t="shared" si="32"/>
        <v>0.96013499999999996</v>
      </c>
    </row>
    <row r="68" spans="1:15" x14ac:dyDescent="0.3">
      <c r="A68" s="37" t="s">
        <v>341</v>
      </c>
      <c r="B68" s="38" t="s">
        <v>1945</v>
      </c>
      <c r="C68" s="39" t="s">
        <v>1655</v>
      </c>
      <c r="D68" s="139">
        <v>0.71</v>
      </c>
      <c r="E68" s="40">
        <v>0.1</v>
      </c>
      <c r="F68" s="164">
        <v>0.15</v>
      </c>
      <c r="G68" s="2">
        <f t="shared" si="29"/>
        <v>7.0999999999999994E-2</v>
      </c>
      <c r="H68" s="41">
        <f t="shared" si="33"/>
        <v>0.78099999999999992</v>
      </c>
      <c r="I68" s="9">
        <f t="shared" si="34"/>
        <v>0.16400999999999999</v>
      </c>
      <c r="J68" s="42">
        <f t="shared" si="35"/>
        <v>0.94500999999999991</v>
      </c>
      <c r="L68" s="153">
        <f t="shared" si="30"/>
        <v>0.1065</v>
      </c>
      <c r="M68" s="41">
        <f t="shared" si="31"/>
        <v>0.8165</v>
      </c>
      <c r="N68" s="9">
        <f t="shared" si="36"/>
        <v>0.17146500000000001</v>
      </c>
      <c r="O68" s="42">
        <f t="shared" si="32"/>
        <v>0.98796499999999998</v>
      </c>
    </row>
    <row r="69" spans="1:15" x14ac:dyDescent="0.3">
      <c r="A69" s="37" t="s">
        <v>342</v>
      </c>
      <c r="B69" s="38" t="s">
        <v>1946</v>
      </c>
      <c r="C69" s="39" t="s">
        <v>1655</v>
      </c>
      <c r="D69" s="43">
        <v>0.73</v>
      </c>
      <c r="E69" s="40">
        <v>0.1</v>
      </c>
      <c r="F69" s="164">
        <v>0.15</v>
      </c>
      <c r="G69" s="2">
        <f t="shared" si="29"/>
        <v>7.2999999999999995E-2</v>
      </c>
      <c r="H69" s="41">
        <f t="shared" si="33"/>
        <v>0.80299999999999994</v>
      </c>
      <c r="I69" s="9">
        <f t="shared" si="34"/>
        <v>0.16862999999999997</v>
      </c>
      <c r="J69" s="42">
        <f t="shared" si="35"/>
        <v>0.97162999999999988</v>
      </c>
      <c r="L69" s="153">
        <f t="shared" si="30"/>
        <v>0.1095</v>
      </c>
      <c r="M69" s="41">
        <f t="shared" si="31"/>
        <v>0.83950000000000002</v>
      </c>
      <c r="N69" s="9">
        <f t="shared" si="36"/>
        <v>0.17629500000000001</v>
      </c>
      <c r="O69" s="42">
        <f t="shared" si="32"/>
        <v>1.015795</v>
      </c>
    </row>
    <row r="70" spans="1:15" x14ac:dyDescent="0.3">
      <c r="A70" s="37" t="s">
        <v>355</v>
      </c>
      <c r="B70" s="38" t="s">
        <v>1947</v>
      </c>
      <c r="C70" s="39" t="s">
        <v>1655</v>
      </c>
      <c r="D70" s="139">
        <v>0.75</v>
      </c>
      <c r="E70" s="40">
        <v>0.1</v>
      </c>
      <c r="F70" s="164">
        <v>0.15</v>
      </c>
      <c r="G70" s="2">
        <f t="shared" si="29"/>
        <v>7.5000000000000011E-2</v>
      </c>
      <c r="H70" s="41">
        <f t="shared" si="33"/>
        <v>0.82499999999999996</v>
      </c>
      <c r="I70" s="9">
        <f t="shared" si="34"/>
        <v>0.17324999999999999</v>
      </c>
      <c r="J70" s="42">
        <f t="shared" si="35"/>
        <v>0.99824999999999997</v>
      </c>
      <c r="L70" s="153">
        <f t="shared" si="30"/>
        <v>0.11249999999999999</v>
      </c>
      <c r="M70" s="41">
        <f t="shared" si="31"/>
        <v>0.86250000000000004</v>
      </c>
      <c r="N70" s="9">
        <f t="shared" si="36"/>
        <v>0.18112500000000001</v>
      </c>
      <c r="O70" s="42">
        <f t="shared" si="32"/>
        <v>1.043625</v>
      </c>
    </row>
    <row r="71" spans="1:15" x14ac:dyDescent="0.3">
      <c r="A71" s="37" t="s">
        <v>459</v>
      </c>
      <c r="B71" s="38" t="s">
        <v>1948</v>
      </c>
      <c r="C71" s="39" t="s">
        <v>1655</v>
      </c>
      <c r="D71" s="43">
        <v>0.77</v>
      </c>
      <c r="E71" s="40">
        <v>0.1</v>
      </c>
      <c r="F71" s="164">
        <v>0.15</v>
      </c>
      <c r="G71" s="2">
        <f t="shared" si="29"/>
        <v>7.7000000000000013E-2</v>
      </c>
      <c r="H71" s="41">
        <f t="shared" si="33"/>
        <v>0.84699999999999998</v>
      </c>
      <c r="I71" s="9">
        <f t="shared" si="34"/>
        <v>0.17787</v>
      </c>
      <c r="J71" s="42">
        <f t="shared" si="35"/>
        <v>1.0248699999999999</v>
      </c>
      <c r="L71" s="153">
        <f t="shared" si="30"/>
        <v>0.11549999999999999</v>
      </c>
      <c r="M71" s="41">
        <f t="shared" si="31"/>
        <v>0.88549999999999995</v>
      </c>
      <c r="N71" s="9">
        <f t="shared" si="36"/>
        <v>0.18595499999999998</v>
      </c>
      <c r="O71" s="42">
        <f t="shared" si="32"/>
        <v>1.0714549999999998</v>
      </c>
    </row>
    <row r="72" spans="1:15" x14ac:dyDescent="0.3">
      <c r="A72" s="37" t="s">
        <v>1949</v>
      </c>
      <c r="B72" s="38" t="s">
        <v>1950</v>
      </c>
      <c r="C72" s="39" t="s">
        <v>1655</v>
      </c>
      <c r="D72" s="139">
        <v>0.79</v>
      </c>
      <c r="E72" s="40">
        <v>0.1</v>
      </c>
      <c r="F72" s="164">
        <v>0.15</v>
      </c>
      <c r="G72" s="2">
        <f t="shared" si="29"/>
        <v>7.9000000000000015E-2</v>
      </c>
      <c r="H72" s="41">
        <f t="shared" si="33"/>
        <v>0.86899999999999999</v>
      </c>
      <c r="I72" s="9">
        <f t="shared" si="34"/>
        <v>0.18248999999999999</v>
      </c>
      <c r="J72" s="42">
        <f t="shared" si="35"/>
        <v>1.05149</v>
      </c>
      <c r="L72" s="153">
        <f t="shared" si="30"/>
        <v>0.11849999999999999</v>
      </c>
      <c r="M72" s="41">
        <f t="shared" si="31"/>
        <v>0.90850000000000009</v>
      </c>
      <c r="N72" s="9">
        <f t="shared" si="36"/>
        <v>0.19078500000000001</v>
      </c>
      <c r="O72" s="42">
        <f t="shared" si="32"/>
        <v>1.0992850000000001</v>
      </c>
    </row>
    <row r="73" spans="1:15" x14ac:dyDescent="0.3">
      <c r="A73" s="37" t="s">
        <v>1951</v>
      </c>
      <c r="B73" s="38" t="s">
        <v>1952</v>
      </c>
      <c r="C73" s="39" t="s">
        <v>1655</v>
      </c>
      <c r="D73" s="43">
        <v>0.81</v>
      </c>
      <c r="E73" s="40">
        <v>0.1</v>
      </c>
      <c r="F73" s="164">
        <v>0.15</v>
      </c>
      <c r="G73" s="2">
        <f t="shared" si="29"/>
        <v>8.1000000000000016E-2</v>
      </c>
      <c r="H73" s="41">
        <f t="shared" si="33"/>
        <v>0.89100000000000001</v>
      </c>
      <c r="I73" s="9">
        <f t="shared" si="34"/>
        <v>0.18711</v>
      </c>
      <c r="J73" s="42">
        <f t="shared" si="35"/>
        <v>1.0781100000000001</v>
      </c>
      <c r="L73" s="153">
        <f t="shared" si="30"/>
        <v>0.1215</v>
      </c>
      <c r="M73" s="41">
        <f t="shared" si="31"/>
        <v>0.93149999999999999</v>
      </c>
      <c r="N73" s="9">
        <f t="shared" si="36"/>
        <v>0.19561499999999998</v>
      </c>
      <c r="O73" s="42">
        <f t="shared" si="32"/>
        <v>1.1271149999999999</v>
      </c>
    </row>
    <row r="74" spans="1:15" x14ac:dyDescent="0.3">
      <c r="A74" s="37" t="s">
        <v>1953</v>
      </c>
      <c r="B74" s="38" t="s">
        <v>715</v>
      </c>
      <c r="C74" s="39" t="s">
        <v>1655</v>
      </c>
      <c r="D74" s="139">
        <v>0.83</v>
      </c>
      <c r="E74" s="40">
        <v>0.1</v>
      </c>
      <c r="F74" s="164">
        <v>0.15</v>
      </c>
      <c r="G74" s="2">
        <f t="shared" si="29"/>
        <v>8.3000000000000004E-2</v>
      </c>
      <c r="H74" s="41">
        <f t="shared" si="33"/>
        <v>0.91299999999999992</v>
      </c>
      <c r="I74" s="9">
        <f t="shared" si="34"/>
        <v>0.19172999999999998</v>
      </c>
      <c r="J74" s="42">
        <f t="shared" si="35"/>
        <v>1.10473</v>
      </c>
      <c r="L74" s="153">
        <f t="shared" si="30"/>
        <v>0.12449999999999999</v>
      </c>
      <c r="M74" s="41">
        <f t="shared" si="31"/>
        <v>0.9544999999999999</v>
      </c>
      <c r="N74" s="9">
        <f t="shared" si="36"/>
        <v>0.20044499999999998</v>
      </c>
      <c r="O74" s="42">
        <f t="shared" si="32"/>
        <v>1.1549449999999999</v>
      </c>
    </row>
    <row r="75" spans="1:15" x14ac:dyDescent="0.3">
      <c r="A75" s="37" t="s">
        <v>1954</v>
      </c>
      <c r="B75" s="38" t="s">
        <v>888</v>
      </c>
      <c r="C75" s="39" t="s">
        <v>1655</v>
      </c>
      <c r="D75" s="43">
        <v>0.85</v>
      </c>
      <c r="E75" s="40">
        <v>0.1</v>
      </c>
      <c r="F75" s="164">
        <v>0.15</v>
      </c>
      <c r="G75" s="2">
        <f t="shared" si="29"/>
        <v>8.5000000000000006E-2</v>
      </c>
      <c r="H75" s="41">
        <f t="shared" si="33"/>
        <v>0.93499999999999994</v>
      </c>
      <c r="I75" s="9">
        <f t="shared" si="34"/>
        <v>0.19634999999999997</v>
      </c>
      <c r="J75" s="42">
        <f t="shared" si="35"/>
        <v>1.1313499999999999</v>
      </c>
      <c r="L75" s="153">
        <f t="shared" si="30"/>
        <v>0.1275</v>
      </c>
      <c r="M75" s="41">
        <f t="shared" si="31"/>
        <v>0.97750000000000004</v>
      </c>
      <c r="N75" s="9">
        <f t="shared" si="36"/>
        <v>0.20527500000000001</v>
      </c>
      <c r="O75" s="42">
        <f t="shared" si="32"/>
        <v>1.1827750000000001</v>
      </c>
    </row>
    <row r="76" spans="1:15" x14ac:dyDescent="0.3">
      <c r="A76" s="37" t="s">
        <v>1955</v>
      </c>
      <c r="B76" s="38" t="s">
        <v>1956</v>
      </c>
      <c r="C76" s="39" t="s">
        <v>1655</v>
      </c>
      <c r="D76" s="139">
        <v>0.87</v>
      </c>
      <c r="E76" s="40">
        <v>0.1</v>
      </c>
      <c r="F76" s="164">
        <v>0.15</v>
      </c>
      <c r="G76" s="2">
        <f t="shared" si="29"/>
        <v>8.7000000000000008E-2</v>
      </c>
      <c r="H76" s="41">
        <f t="shared" si="33"/>
        <v>0.95699999999999996</v>
      </c>
      <c r="I76" s="9">
        <f t="shared" si="34"/>
        <v>0.20096999999999998</v>
      </c>
      <c r="J76" s="42">
        <f t="shared" si="35"/>
        <v>1.1579699999999999</v>
      </c>
      <c r="L76" s="153">
        <f t="shared" si="30"/>
        <v>0.1305</v>
      </c>
      <c r="M76" s="41">
        <f t="shared" si="31"/>
        <v>1.0004999999999999</v>
      </c>
      <c r="N76" s="9">
        <f t="shared" si="36"/>
        <v>0.21010499999999999</v>
      </c>
      <c r="O76" s="42">
        <f t="shared" si="32"/>
        <v>1.2106049999999999</v>
      </c>
    </row>
    <row r="77" spans="1:15" x14ac:dyDescent="0.3">
      <c r="A77" s="37" t="s">
        <v>1957</v>
      </c>
      <c r="B77" s="38" t="s">
        <v>1958</v>
      </c>
      <c r="C77" s="39" t="s">
        <v>1655</v>
      </c>
      <c r="D77" s="43">
        <v>0.89</v>
      </c>
      <c r="E77" s="40">
        <v>0.1</v>
      </c>
      <c r="F77" s="164">
        <v>0.15</v>
      </c>
      <c r="G77" s="2">
        <f t="shared" si="29"/>
        <v>8.900000000000001E-2</v>
      </c>
      <c r="H77" s="41">
        <f t="shared" si="33"/>
        <v>0.97899999999999998</v>
      </c>
      <c r="I77" s="9">
        <f t="shared" si="34"/>
        <v>0.20558999999999999</v>
      </c>
      <c r="J77" s="42">
        <f t="shared" si="35"/>
        <v>1.18459</v>
      </c>
      <c r="L77" s="153">
        <f t="shared" si="30"/>
        <v>0.13350000000000001</v>
      </c>
      <c r="M77" s="41">
        <f t="shared" si="31"/>
        <v>1.0235000000000001</v>
      </c>
      <c r="N77" s="9">
        <f t="shared" si="36"/>
        <v>0.21493500000000001</v>
      </c>
      <c r="O77" s="42">
        <f t="shared" si="32"/>
        <v>1.2384350000000002</v>
      </c>
    </row>
    <row r="78" spans="1:15" x14ac:dyDescent="0.3">
      <c r="A78" s="37" t="s">
        <v>1959</v>
      </c>
      <c r="B78" s="38" t="s">
        <v>1960</v>
      </c>
      <c r="C78" s="39" t="s">
        <v>1655</v>
      </c>
      <c r="D78" s="139">
        <v>0.91</v>
      </c>
      <c r="E78" s="40">
        <v>0.1</v>
      </c>
      <c r="F78" s="164">
        <v>0.15</v>
      </c>
      <c r="G78" s="2">
        <f t="shared" si="29"/>
        <v>9.1000000000000011E-2</v>
      </c>
      <c r="H78" s="41">
        <f t="shared" si="33"/>
        <v>1.0010000000000001</v>
      </c>
      <c r="I78" s="9">
        <f t="shared" si="34"/>
        <v>0.21021000000000001</v>
      </c>
      <c r="J78" s="42">
        <f t="shared" si="35"/>
        <v>1.2112100000000001</v>
      </c>
      <c r="L78" s="153">
        <f t="shared" si="30"/>
        <v>0.13650000000000001</v>
      </c>
      <c r="M78" s="41">
        <f t="shared" si="31"/>
        <v>1.0465</v>
      </c>
      <c r="N78" s="9">
        <f t="shared" si="36"/>
        <v>0.21976499999999999</v>
      </c>
      <c r="O78" s="42">
        <f t="shared" si="32"/>
        <v>1.266265</v>
      </c>
    </row>
    <row r="79" spans="1:15" x14ac:dyDescent="0.3">
      <c r="A79" s="37" t="s">
        <v>1961</v>
      </c>
      <c r="B79" s="38" t="s">
        <v>1962</v>
      </c>
      <c r="C79" s="39" t="s">
        <v>1655</v>
      </c>
      <c r="D79" s="43">
        <v>0.93</v>
      </c>
      <c r="E79" s="40">
        <v>0.1</v>
      </c>
      <c r="F79" s="164">
        <v>0.15</v>
      </c>
      <c r="G79" s="2">
        <f t="shared" si="29"/>
        <v>9.3000000000000013E-2</v>
      </c>
      <c r="H79" s="41">
        <f t="shared" si="33"/>
        <v>1.0230000000000001</v>
      </c>
      <c r="I79" s="9">
        <f t="shared" si="34"/>
        <v>0.21483000000000002</v>
      </c>
      <c r="J79" s="42">
        <f t="shared" si="35"/>
        <v>1.2378300000000002</v>
      </c>
      <c r="L79" s="153">
        <f t="shared" si="30"/>
        <v>0.13950000000000001</v>
      </c>
      <c r="M79" s="41">
        <f t="shared" si="31"/>
        <v>1.0695000000000001</v>
      </c>
      <c r="N79" s="9">
        <f t="shared" si="36"/>
        <v>0.22459500000000002</v>
      </c>
      <c r="O79" s="42">
        <f t="shared" si="32"/>
        <v>1.2940950000000002</v>
      </c>
    </row>
    <row r="80" spans="1:15" x14ac:dyDescent="0.3">
      <c r="A80" s="37" t="s">
        <v>1963</v>
      </c>
      <c r="B80" s="514" t="s">
        <v>1964</v>
      </c>
      <c r="C80" s="39" t="s">
        <v>1655</v>
      </c>
      <c r="D80" s="139">
        <v>0.95</v>
      </c>
      <c r="E80" s="40">
        <v>0.1</v>
      </c>
      <c r="F80" s="164">
        <v>0.15</v>
      </c>
      <c r="G80" s="2">
        <f t="shared" si="29"/>
        <v>9.5000000000000001E-2</v>
      </c>
      <c r="H80" s="41">
        <f t="shared" si="33"/>
        <v>1.0449999999999999</v>
      </c>
      <c r="I80" s="9">
        <f t="shared" si="34"/>
        <v>0.21944999999999998</v>
      </c>
      <c r="J80" s="42">
        <f t="shared" si="35"/>
        <v>1.2644499999999999</v>
      </c>
      <c r="L80" s="153">
        <f t="shared" si="30"/>
        <v>0.14249999999999999</v>
      </c>
      <c r="M80" s="41">
        <f t="shared" si="31"/>
        <v>1.0925</v>
      </c>
      <c r="N80" s="9">
        <f t="shared" si="36"/>
        <v>0.22942499999999999</v>
      </c>
      <c r="O80" s="42">
        <f t="shared" si="32"/>
        <v>1.321925</v>
      </c>
    </row>
    <row r="81" spans="1:15" x14ac:dyDescent="0.3">
      <c r="A81" s="37" t="s">
        <v>1965</v>
      </c>
      <c r="B81" s="514" t="s">
        <v>1966</v>
      </c>
      <c r="C81" s="39" t="s">
        <v>1655</v>
      </c>
      <c r="D81" s="43">
        <v>0.97</v>
      </c>
      <c r="E81" s="40">
        <v>0.1</v>
      </c>
      <c r="F81" s="164">
        <v>0.15</v>
      </c>
      <c r="G81" s="2">
        <f t="shared" si="29"/>
        <v>9.7000000000000003E-2</v>
      </c>
      <c r="H81" s="41">
        <f t="shared" si="33"/>
        <v>1.0669999999999999</v>
      </c>
      <c r="I81" s="9">
        <f t="shared" si="34"/>
        <v>0.22406999999999999</v>
      </c>
      <c r="J81" s="42">
        <f t="shared" si="35"/>
        <v>1.2910699999999999</v>
      </c>
      <c r="L81" s="153">
        <f t="shared" si="30"/>
        <v>0.14549999999999999</v>
      </c>
      <c r="M81" s="41">
        <f t="shared" si="31"/>
        <v>1.1154999999999999</v>
      </c>
      <c r="N81" s="9">
        <f t="shared" si="36"/>
        <v>0.23425499999999999</v>
      </c>
      <c r="O81" s="42">
        <f t="shared" si="32"/>
        <v>1.349755</v>
      </c>
    </row>
    <row r="83" spans="1:15" x14ac:dyDescent="0.3">
      <c r="A83" s="58" t="s">
        <v>15</v>
      </c>
      <c r="B83" s="59" t="s">
        <v>1967</v>
      </c>
      <c r="C83" s="60" t="s">
        <v>1655</v>
      </c>
      <c r="D83" s="61">
        <v>120.21</v>
      </c>
      <c r="E83" s="62">
        <v>0.3</v>
      </c>
      <c r="F83" s="165">
        <v>0.04</v>
      </c>
      <c r="G83" s="2">
        <f t="shared" ref="G83:G99" si="37">D83*E83</f>
        <v>36.062999999999995</v>
      </c>
      <c r="H83" s="63">
        <f t="shared" ref="H83:H99" si="38">G83+D83</f>
        <v>156.273</v>
      </c>
      <c r="I83" s="9">
        <f t="shared" ref="I83:I99" si="39">H83*0.21</f>
        <v>32.817329999999998</v>
      </c>
      <c r="J83" s="64">
        <f t="shared" ref="J83:J99" si="40">H83+I83</f>
        <v>189.09032999999999</v>
      </c>
      <c r="L83" s="153">
        <f t="shared" si="30"/>
        <v>4.8083999999999998</v>
      </c>
      <c r="M83" s="63">
        <f t="shared" si="31"/>
        <v>125.0184</v>
      </c>
      <c r="N83" s="9">
        <f>M83*0.21</f>
        <v>26.253864</v>
      </c>
      <c r="O83" s="64">
        <f t="shared" si="32"/>
        <v>151.27226400000001</v>
      </c>
    </row>
    <row r="84" spans="1:15" x14ac:dyDescent="0.3">
      <c r="A84" s="130" t="s">
        <v>18</v>
      </c>
      <c r="B84" s="131" t="s">
        <v>1968</v>
      </c>
      <c r="C84" s="132" t="s">
        <v>1655</v>
      </c>
      <c r="D84" s="133">
        <v>125.54</v>
      </c>
      <c r="E84" s="134">
        <v>0.35</v>
      </c>
      <c r="F84" s="165">
        <v>7.0000000000000007E-2</v>
      </c>
      <c r="G84" s="135">
        <f t="shared" si="37"/>
        <v>43.939</v>
      </c>
      <c r="H84" s="136">
        <f t="shared" si="38"/>
        <v>169.47900000000001</v>
      </c>
      <c r="I84" s="137">
        <f t="shared" si="39"/>
        <v>35.590589999999999</v>
      </c>
      <c r="J84" s="138">
        <f t="shared" si="40"/>
        <v>205.06959000000001</v>
      </c>
      <c r="L84" s="153">
        <f t="shared" si="30"/>
        <v>8.7878000000000007</v>
      </c>
      <c r="M84" s="63">
        <f t="shared" si="31"/>
        <v>134.3278</v>
      </c>
      <c r="N84" s="9">
        <f>M84*0.21</f>
        <v>28.208837999999997</v>
      </c>
      <c r="O84" s="64">
        <f t="shared" si="32"/>
        <v>162.53663799999998</v>
      </c>
    </row>
    <row r="85" spans="1:15" x14ac:dyDescent="0.3">
      <c r="A85" s="58" t="s">
        <v>69</v>
      </c>
      <c r="B85" s="59" t="s">
        <v>1969</v>
      </c>
      <c r="C85" s="60" t="s">
        <v>1655</v>
      </c>
      <c r="D85" s="61">
        <v>130.87</v>
      </c>
      <c r="E85" s="62">
        <v>0.4</v>
      </c>
      <c r="F85" s="165">
        <v>0.1</v>
      </c>
      <c r="G85" s="2">
        <f t="shared" si="37"/>
        <v>52.348000000000006</v>
      </c>
      <c r="H85" s="63">
        <f t="shared" si="38"/>
        <v>183.21800000000002</v>
      </c>
      <c r="I85" s="9">
        <f t="shared" si="39"/>
        <v>38.47578</v>
      </c>
      <c r="J85" s="64">
        <f t="shared" si="40"/>
        <v>221.69378</v>
      </c>
      <c r="L85" s="153">
        <f t="shared" si="30"/>
        <v>13.087000000000002</v>
      </c>
      <c r="M85" s="63">
        <f t="shared" si="31"/>
        <v>143.95699999999999</v>
      </c>
      <c r="N85" s="9">
        <f>M85*0.21</f>
        <v>30.230969999999999</v>
      </c>
      <c r="O85" s="64">
        <f t="shared" si="32"/>
        <v>174.18797000000001</v>
      </c>
    </row>
    <row r="86" spans="1:15" x14ac:dyDescent="0.3">
      <c r="A86" s="58" t="s">
        <v>141</v>
      </c>
      <c r="B86" s="59" t="s">
        <v>1970</v>
      </c>
      <c r="C86" s="60" t="s">
        <v>1655</v>
      </c>
      <c r="D86" s="133">
        <v>136.19999999999999</v>
      </c>
      <c r="E86" s="134">
        <v>0.45</v>
      </c>
      <c r="F86" s="165">
        <v>0.13</v>
      </c>
      <c r="G86" s="2">
        <f t="shared" si="37"/>
        <v>61.29</v>
      </c>
      <c r="H86" s="63">
        <f t="shared" si="38"/>
        <v>197.48999999999998</v>
      </c>
      <c r="I86" s="9">
        <f t="shared" si="39"/>
        <v>41.472899999999996</v>
      </c>
      <c r="J86" s="64">
        <f t="shared" si="40"/>
        <v>238.96289999999999</v>
      </c>
      <c r="L86" s="153">
        <f t="shared" si="30"/>
        <v>17.706</v>
      </c>
      <c r="M86" s="63">
        <f t="shared" si="31"/>
        <v>153.90599999999998</v>
      </c>
      <c r="N86" s="9">
        <f t="shared" ref="N86:N99" si="41">M86*0.21</f>
        <v>32.320259999999998</v>
      </c>
      <c r="O86" s="64">
        <f t="shared" si="32"/>
        <v>186.22625999999997</v>
      </c>
    </row>
    <row r="87" spans="1:15" x14ac:dyDescent="0.3">
      <c r="A87" s="58" t="s">
        <v>146</v>
      </c>
      <c r="B87" s="59" t="s">
        <v>1971</v>
      </c>
      <c r="C87" s="60" t="s">
        <v>1655</v>
      </c>
      <c r="D87" s="61">
        <v>141.53</v>
      </c>
      <c r="E87" s="62">
        <v>0.5</v>
      </c>
      <c r="F87" s="165">
        <v>0.16</v>
      </c>
      <c r="G87" s="2">
        <f t="shared" si="37"/>
        <v>70.765000000000001</v>
      </c>
      <c r="H87" s="63">
        <f t="shared" si="38"/>
        <v>212.29500000000002</v>
      </c>
      <c r="I87" s="9">
        <f t="shared" si="39"/>
        <v>44.581949999999999</v>
      </c>
      <c r="J87" s="64">
        <f t="shared" si="40"/>
        <v>256.87695000000002</v>
      </c>
      <c r="L87" s="153">
        <f t="shared" si="30"/>
        <v>22.6448</v>
      </c>
      <c r="M87" s="63">
        <f t="shared" si="31"/>
        <v>164.1748</v>
      </c>
      <c r="N87" s="9">
        <f t="shared" si="41"/>
        <v>34.476708000000002</v>
      </c>
      <c r="O87" s="64">
        <f t="shared" si="32"/>
        <v>198.65150800000001</v>
      </c>
    </row>
    <row r="88" spans="1:15" x14ac:dyDescent="0.3">
      <c r="A88" s="58" t="s">
        <v>159</v>
      </c>
      <c r="B88" s="59" t="s">
        <v>1972</v>
      </c>
      <c r="C88" s="60" t="s">
        <v>1655</v>
      </c>
      <c r="D88" s="133">
        <v>146.86000000000001</v>
      </c>
      <c r="E88" s="134">
        <v>0.55000000000000004</v>
      </c>
      <c r="F88" s="165">
        <v>0.19</v>
      </c>
      <c r="G88" s="2">
        <f t="shared" si="37"/>
        <v>80.77300000000001</v>
      </c>
      <c r="H88" s="63">
        <f t="shared" si="38"/>
        <v>227.63300000000004</v>
      </c>
      <c r="I88" s="9">
        <f t="shared" si="39"/>
        <v>47.802930000000003</v>
      </c>
      <c r="J88" s="64">
        <f t="shared" si="40"/>
        <v>275.43593000000004</v>
      </c>
      <c r="L88" s="153">
        <f t="shared" si="30"/>
        <v>27.903400000000001</v>
      </c>
      <c r="M88" s="63">
        <f t="shared" si="31"/>
        <v>174.76340000000002</v>
      </c>
      <c r="N88" s="9">
        <f t="shared" si="41"/>
        <v>36.700314000000006</v>
      </c>
      <c r="O88" s="64">
        <f t="shared" si="32"/>
        <v>211.46371400000004</v>
      </c>
    </row>
    <row r="89" spans="1:15" x14ac:dyDescent="0.3">
      <c r="A89" s="58" t="s">
        <v>259</v>
      </c>
      <c r="B89" s="59" t="s">
        <v>1973</v>
      </c>
      <c r="C89" s="60" t="s">
        <v>1655</v>
      </c>
      <c r="D89" s="61">
        <v>152.19</v>
      </c>
      <c r="E89" s="62">
        <v>0.6</v>
      </c>
      <c r="F89" s="165">
        <v>0.22</v>
      </c>
      <c r="G89" s="2">
        <f t="shared" si="37"/>
        <v>91.313999999999993</v>
      </c>
      <c r="H89" s="63">
        <f t="shared" si="38"/>
        <v>243.50399999999999</v>
      </c>
      <c r="I89" s="9">
        <f t="shared" si="39"/>
        <v>51.135839999999995</v>
      </c>
      <c r="J89" s="64">
        <f t="shared" si="40"/>
        <v>294.63983999999999</v>
      </c>
      <c r="L89" s="153">
        <f t="shared" si="30"/>
        <v>33.4818</v>
      </c>
      <c r="M89" s="63">
        <f t="shared" si="31"/>
        <v>185.67179999999999</v>
      </c>
      <c r="N89" s="9">
        <f t="shared" si="41"/>
        <v>38.991077999999995</v>
      </c>
      <c r="O89" s="64">
        <f t="shared" si="32"/>
        <v>224.66287799999998</v>
      </c>
    </row>
    <row r="90" spans="1:15" x14ac:dyDescent="0.3">
      <c r="A90" s="58" t="s">
        <v>272</v>
      </c>
      <c r="B90" s="59" t="s">
        <v>1974</v>
      </c>
      <c r="C90" s="60" t="s">
        <v>1655</v>
      </c>
      <c r="D90" s="133">
        <v>157.52000000000001</v>
      </c>
      <c r="E90" s="134">
        <v>0.65</v>
      </c>
      <c r="F90" s="165">
        <v>0.25</v>
      </c>
      <c r="G90" s="2">
        <f t="shared" si="37"/>
        <v>102.38800000000001</v>
      </c>
      <c r="H90" s="63">
        <f t="shared" si="38"/>
        <v>259.90800000000002</v>
      </c>
      <c r="I90" s="9">
        <f t="shared" si="39"/>
        <v>54.580680000000001</v>
      </c>
      <c r="J90" s="64">
        <f t="shared" si="40"/>
        <v>314.48868000000004</v>
      </c>
      <c r="L90" s="153">
        <f t="shared" si="30"/>
        <v>39.380000000000003</v>
      </c>
      <c r="M90" s="63">
        <f t="shared" si="31"/>
        <v>196.9</v>
      </c>
      <c r="N90" s="9">
        <f t="shared" si="41"/>
        <v>41.348999999999997</v>
      </c>
      <c r="O90" s="64">
        <f t="shared" si="32"/>
        <v>238.249</v>
      </c>
    </row>
    <row r="91" spans="1:15" x14ac:dyDescent="0.3">
      <c r="A91" s="58" t="s">
        <v>1975</v>
      </c>
      <c r="B91" s="59" t="s">
        <v>1976</v>
      </c>
      <c r="C91" s="60" t="s">
        <v>1655</v>
      </c>
      <c r="D91" s="61">
        <v>162.85</v>
      </c>
      <c r="E91" s="62">
        <v>0.7</v>
      </c>
      <c r="F91" s="165">
        <v>0.28000000000000003</v>
      </c>
      <c r="G91" s="2">
        <f t="shared" si="37"/>
        <v>113.99499999999999</v>
      </c>
      <c r="H91" s="63">
        <f t="shared" si="38"/>
        <v>276.84499999999997</v>
      </c>
      <c r="I91" s="9">
        <f t="shared" si="39"/>
        <v>58.137449999999994</v>
      </c>
      <c r="J91" s="64">
        <f t="shared" si="40"/>
        <v>334.98244999999997</v>
      </c>
      <c r="L91" s="153">
        <f t="shared" si="30"/>
        <v>45.598000000000006</v>
      </c>
      <c r="M91" s="63">
        <f t="shared" si="31"/>
        <v>208.44800000000001</v>
      </c>
      <c r="N91" s="9">
        <f t="shared" si="41"/>
        <v>43.774079999999998</v>
      </c>
      <c r="O91" s="64">
        <f t="shared" si="32"/>
        <v>252.22208000000001</v>
      </c>
    </row>
    <row r="92" spans="1:15" x14ac:dyDescent="0.3">
      <c r="A92" s="58" t="s">
        <v>1977</v>
      </c>
      <c r="B92" s="59" t="s">
        <v>1978</v>
      </c>
      <c r="C92" s="60" t="s">
        <v>1655</v>
      </c>
      <c r="D92" s="133">
        <v>168.18</v>
      </c>
      <c r="E92" s="134">
        <v>0.75</v>
      </c>
      <c r="F92" s="165">
        <v>0.31</v>
      </c>
      <c r="G92" s="2">
        <f t="shared" si="37"/>
        <v>126.13500000000001</v>
      </c>
      <c r="H92" s="63">
        <f t="shared" si="38"/>
        <v>294.315</v>
      </c>
      <c r="I92" s="9">
        <f t="shared" si="39"/>
        <v>61.806149999999995</v>
      </c>
      <c r="J92" s="64">
        <f t="shared" si="40"/>
        <v>356.12115</v>
      </c>
      <c r="L92" s="153">
        <f t="shared" si="30"/>
        <v>52.135800000000003</v>
      </c>
      <c r="M92" s="63">
        <f t="shared" si="31"/>
        <v>220.31580000000002</v>
      </c>
      <c r="N92" s="9">
        <f t="shared" si="41"/>
        <v>46.266318000000005</v>
      </c>
      <c r="O92" s="64">
        <f t="shared" si="32"/>
        <v>266.58211800000004</v>
      </c>
    </row>
    <row r="93" spans="1:15" x14ac:dyDescent="0.3">
      <c r="A93" s="58" t="s">
        <v>1979</v>
      </c>
      <c r="B93" s="59" t="s">
        <v>1980</v>
      </c>
      <c r="C93" s="60" t="s">
        <v>1655</v>
      </c>
      <c r="D93" s="61">
        <v>173.51</v>
      </c>
      <c r="E93" s="62">
        <v>0.8</v>
      </c>
      <c r="F93" s="165">
        <v>0.34</v>
      </c>
      <c r="G93" s="2">
        <f t="shared" si="37"/>
        <v>138.80799999999999</v>
      </c>
      <c r="H93" s="63">
        <f t="shared" si="38"/>
        <v>312.31799999999998</v>
      </c>
      <c r="I93" s="9">
        <f t="shared" si="39"/>
        <v>65.58677999999999</v>
      </c>
      <c r="J93" s="64">
        <f t="shared" si="40"/>
        <v>377.90477999999996</v>
      </c>
      <c r="L93" s="153">
        <f t="shared" si="30"/>
        <v>58.993400000000001</v>
      </c>
      <c r="M93" s="63">
        <f t="shared" si="31"/>
        <v>232.5034</v>
      </c>
      <c r="N93" s="9">
        <f t="shared" si="41"/>
        <v>48.825713999999998</v>
      </c>
      <c r="O93" s="64">
        <f t="shared" si="32"/>
        <v>281.329114</v>
      </c>
    </row>
    <row r="94" spans="1:15" x14ac:dyDescent="0.3">
      <c r="A94" s="58" t="s">
        <v>1981</v>
      </c>
      <c r="B94" s="59" t="s">
        <v>1982</v>
      </c>
      <c r="C94" s="60" t="s">
        <v>1655</v>
      </c>
      <c r="D94" s="133">
        <v>178.84</v>
      </c>
      <c r="E94" s="134">
        <v>0.85</v>
      </c>
      <c r="F94" s="165">
        <v>0.37</v>
      </c>
      <c r="G94" s="2">
        <f t="shared" si="37"/>
        <v>152.01400000000001</v>
      </c>
      <c r="H94" s="63">
        <f t="shared" si="38"/>
        <v>330.85400000000004</v>
      </c>
      <c r="I94" s="9">
        <f t="shared" si="39"/>
        <v>69.479340000000008</v>
      </c>
      <c r="J94" s="64">
        <f t="shared" si="40"/>
        <v>400.33334000000002</v>
      </c>
      <c r="L94" s="153">
        <f t="shared" si="30"/>
        <v>66.1708</v>
      </c>
      <c r="M94" s="63">
        <f t="shared" si="31"/>
        <v>245.01080000000002</v>
      </c>
      <c r="N94" s="9">
        <f t="shared" si="41"/>
        <v>51.452268000000004</v>
      </c>
      <c r="O94" s="64">
        <f t="shared" si="32"/>
        <v>296.46306800000002</v>
      </c>
    </row>
    <row r="95" spans="1:15" x14ac:dyDescent="0.3">
      <c r="A95" s="58" t="s">
        <v>1983</v>
      </c>
      <c r="B95" s="59" t="s">
        <v>1984</v>
      </c>
      <c r="C95" s="60" t="s">
        <v>1655</v>
      </c>
      <c r="D95" s="61">
        <v>184.17</v>
      </c>
      <c r="E95" s="62">
        <v>0.9</v>
      </c>
      <c r="F95" s="165">
        <v>0.4</v>
      </c>
      <c r="G95" s="2">
        <f t="shared" si="37"/>
        <v>165.75299999999999</v>
      </c>
      <c r="H95" s="63">
        <f t="shared" si="38"/>
        <v>349.923</v>
      </c>
      <c r="I95" s="9">
        <f t="shared" si="39"/>
        <v>73.483829999999998</v>
      </c>
      <c r="J95" s="64">
        <f t="shared" si="40"/>
        <v>423.40683000000001</v>
      </c>
      <c r="L95" s="153">
        <f t="shared" si="30"/>
        <v>73.667999999999992</v>
      </c>
      <c r="M95" s="63">
        <f t="shared" si="31"/>
        <v>257.83799999999997</v>
      </c>
      <c r="N95" s="9">
        <f t="shared" si="41"/>
        <v>54.145979999999987</v>
      </c>
      <c r="O95" s="64">
        <f t="shared" si="32"/>
        <v>311.98397999999997</v>
      </c>
    </row>
    <row r="96" spans="1:15" x14ac:dyDescent="0.3">
      <c r="A96" s="58" t="s">
        <v>1985</v>
      </c>
      <c r="B96" s="59" t="s">
        <v>1986</v>
      </c>
      <c r="C96" s="60" t="s">
        <v>1655</v>
      </c>
      <c r="D96" s="133">
        <v>189.5</v>
      </c>
      <c r="E96" s="134">
        <v>0.95</v>
      </c>
      <c r="F96" s="165">
        <v>0.43</v>
      </c>
      <c r="G96" s="2">
        <f t="shared" si="37"/>
        <v>180.02500000000001</v>
      </c>
      <c r="H96" s="63">
        <f t="shared" si="38"/>
        <v>369.52499999999998</v>
      </c>
      <c r="I96" s="9">
        <f t="shared" si="39"/>
        <v>77.600249999999988</v>
      </c>
      <c r="J96" s="64">
        <f t="shared" si="40"/>
        <v>447.12524999999994</v>
      </c>
      <c r="L96" s="153">
        <f t="shared" si="30"/>
        <v>81.484999999999999</v>
      </c>
      <c r="M96" s="63">
        <f t="shared" si="31"/>
        <v>270.98500000000001</v>
      </c>
      <c r="N96" s="9">
        <f t="shared" si="41"/>
        <v>56.906849999999999</v>
      </c>
      <c r="O96" s="64">
        <f t="shared" si="32"/>
        <v>327.89185000000003</v>
      </c>
    </row>
    <row r="97" spans="1:15" x14ac:dyDescent="0.3">
      <c r="A97" s="58" t="s">
        <v>1987</v>
      </c>
      <c r="B97" s="59" t="s">
        <v>1988</v>
      </c>
      <c r="C97" s="60" t="s">
        <v>1655</v>
      </c>
      <c r="D97" s="61">
        <v>194.83</v>
      </c>
      <c r="E97" s="62">
        <v>1</v>
      </c>
      <c r="F97" s="165">
        <v>0.46</v>
      </c>
      <c r="G97" s="2">
        <f t="shared" si="37"/>
        <v>194.83</v>
      </c>
      <c r="H97" s="63">
        <f t="shared" si="38"/>
        <v>389.66</v>
      </c>
      <c r="I97" s="9">
        <f t="shared" si="39"/>
        <v>81.828600000000009</v>
      </c>
      <c r="J97" s="64">
        <f t="shared" si="40"/>
        <v>471.48860000000002</v>
      </c>
      <c r="L97" s="153">
        <f t="shared" si="30"/>
        <v>89.621800000000007</v>
      </c>
      <c r="M97" s="63">
        <f t="shared" si="31"/>
        <v>284.45180000000005</v>
      </c>
      <c r="N97" s="9">
        <f t="shared" si="41"/>
        <v>59.734878000000009</v>
      </c>
      <c r="O97" s="64">
        <f t="shared" si="32"/>
        <v>344.18667800000003</v>
      </c>
    </row>
    <row r="98" spans="1:15" x14ac:dyDescent="0.3">
      <c r="A98" s="58" t="s">
        <v>1989</v>
      </c>
      <c r="B98" s="59" t="s">
        <v>1990</v>
      </c>
      <c r="C98" s="60" t="s">
        <v>1655</v>
      </c>
      <c r="D98" s="133">
        <v>200.16</v>
      </c>
      <c r="E98" s="134">
        <v>1.05</v>
      </c>
      <c r="F98" s="165">
        <v>0.49</v>
      </c>
      <c r="G98" s="2">
        <f t="shared" si="37"/>
        <v>210.16800000000001</v>
      </c>
      <c r="H98" s="63">
        <f t="shared" si="38"/>
        <v>410.32799999999997</v>
      </c>
      <c r="I98" s="9">
        <f t="shared" si="39"/>
        <v>86.168879999999987</v>
      </c>
      <c r="J98" s="64">
        <f t="shared" si="40"/>
        <v>496.49687999999998</v>
      </c>
      <c r="L98" s="153">
        <f t="shared" si="30"/>
        <v>98.078400000000002</v>
      </c>
      <c r="M98" s="63">
        <f t="shared" si="31"/>
        <v>298.23840000000001</v>
      </c>
      <c r="N98" s="9">
        <f t="shared" si="41"/>
        <v>62.630063999999997</v>
      </c>
      <c r="O98" s="64">
        <f t="shared" si="32"/>
        <v>360.86846400000002</v>
      </c>
    </row>
    <row r="99" spans="1:15" x14ac:dyDescent="0.3">
      <c r="A99" s="58" t="s">
        <v>1991</v>
      </c>
      <c r="B99" s="59" t="s">
        <v>1992</v>
      </c>
      <c r="C99" s="60" t="s">
        <v>1655</v>
      </c>
      <c r="D99" s="61">
        <v>205.49</v>
      </c>
      <c r="E99" s="62">
        <v>1.1000000000000001</v>
      </c>
      <c r="F99" s="165">
        <v>0.52</v>
      </c>
      <c r="G99" s="2">
        <f t="shared" si="37"/>
        <v>226.03900000000002</v>
      </c>
      <c r="H99" s="63">
        <f t="shared" si="38"/>
        <v>431.529</v>
      </c>
      <c r="I99" s="9">
        <f t="shared" si="39"/>
        <v>90.621089999999995</v>
      </c>
      <c r="J99" s="64">
        <f t="shared" si="40"/>
        <v>522.15008999999998</v>
      </c>
      <c r="L99" s="153">
        <f t="shared" si="30"/>
        <v>106.85480000000001</v>
      </c>
      <c r="M99" s="63">
        <f t="shared" si="31"/>
        <v>312.34480000000002</v>
      </c>
      <c r="N99" s="9">
        <f t="shared" si="41"/>
        <v>65.592408000000006</v>
      </c>
      <c r="O99" s="64">
        <f t="shared" si="32"/>
        <v>377.93720800000006</v>
      </c>
    </row>
    <row r="100" spans="1:15" x14ac:dyDescent="0.3">
      <c r="F100" s="1"/>
      <c r="L100" s="154"/>
      <c r="M100" s="154"/>
      <c r="N100" s="154"/>
      <c r="O100" s="154"/>
    </row>
    <row r="101" spans="1:15" x14ac:dyDescent="0.3">
      <c r="A101" s="116" t="s">
        <v>70</v>
      </c>
      <c r="B101" s="117" t="s">
        <v>1993</v>
      </c>
      <c r="C101" s="118" t="s">
        <v>1655</v>
      </c>
      <c r="D101" s="119">
        <v>4.34</v>
      </c>
      <c r="E101" s="120">
        <v>0.22</v>
      </c>
      <c r="F101" s="166">
        <v>0.13</v>
      </c>
      <c r="G101" s="2">
        <f>D101*E101</f>
        <v>0.95479999999999998</v>
      </c>
      <c r="H101" s="121">
        <f>G101+D101</f>
        <v>5.2947999999999995</v>
      </c>
      <c r="I101" s="9">
        <f>H101*0.21</f>
        <v>1.1119079999999999</v>
      </c>
      <c r="J101" s="122">
        <f>H101+I101</f>
        <v>6.4067079999999992</v>
      </c>
      <c r="L101" s="153">
        <f t="shared" si="30"/>
        <v>0.56420000000000003</v>
      </c>
      <c r="M101" s="121">
        <f t="shared" si="31"/>
        <v>4.9041999999999994</v>
      </c>
      <c r="N101" s="9">
        <f>M101*0.21</f>
        <v>1.0298819999999997</v>
      </c>
      <c r="O101" s="122">
        <f t="shared" si="32"/>
        <v>5.9340819999999992</v>
      </c>
    </row>
    <row r="102" spans="1:15" x14ac:dyDescent="0.3">
      <c r="A102" s="116" t="s">
        <v>80</v>
      </c>
      <c r="B102" s="117" t="s">
        <v>1994</v>
      </c>
      <c r="C102" s="118" t="s">
        <v>1655</v>
      </c>
      <c r="D102" s="119">
        <v>4.21</v>
      </c>
      <c r="E102" s="120">
        <v>0.22</v>
      </c>
      <c r="F102" s="166">
        <v>0.13</v>
      </c>
      <c r="G102" s="2">
        <f>D102*E102</f>
        <v>0.92620000000000002</v>
      </c>
      <c r="H102" s="121">
        <f>G102+D102</f>
        <v>5.1361999999999997</v>
      </c>
      <c r="I102" s="9">
        <f>H102*0.21</f>
        <v>1.0786019999999998</v>
      </c>
      <c r="J102" s="122">
        <f>H102+I102</f>
        <v>6.2148019999999997</v>
      </c>
      <c r="L102" s="153">
        <f t="shared" si="30"/>
        <v>0.54730000000000001</v>
      </c>
      <c r="M102" s="121">
        <f t="shared" si="31"/>
        <v>4.7572999999999999</v>
      </c>
      <c r="N102" s="9">
        <f>M102*0.21</f>
        <v>0.99903299999999995</v>
      </c>
      <c r="O102" s="122">
        <f t="shared" si="32"/>
        <v>5.7563329999999997</v>
      </c>
    </row>
    <row r="103" spans="1:15" x14ac:dyDescent="0.3">
      <c r="A103" s="116" t="s">
        <v>302</v>
      </c>
      <c r="B103" s="117" t="s">
        <v>1995</v>
      </c>
      <c r="C103" s="118" t="s">
        <v>1655</v>
      </c>
      <c r="D103" s="119">
        <v>4.08</v>
      </c>
      <c r="E103" s="120">
        <v>0.22</v>
      </c>
      <c r="F103" s="166">
        <v>0.13</v>
      </c>
      <c r="G103" s="2">
        <f>D103*E103</f>
        <v>0.89760000000000006</v>
      </c>
      <c r="H103" s="121">
        <f>G103+D103</f>
        <v>4.9775999999999998</v>
      </c>
      <c r="I103" s="9">
        <f>H103*0.21</f>
        <v>1.045296</v>
      </c>
      <c r="J103" s="122">
        <f>H103+I103</f>
        <v>6.0228959999999994</v>
      </c>
      <c r="L103" s="153">
        <f t="shared" si="30"/>
        <v>0.53039999999999998</v>
      </c>
      <c r="M103" s="121">
        <f t="shared" si="31"/>
        <v>4.6104000000000003</v>
      </c>
      <c r="N103" s="9">
        <f>M103*0.21</f>
        <v>0.96818400000000004</v>
      </c>
      <c r="O103" s="122">
        <f t="shared" si="32"/>
        <v>5.5785840000000002</v>
      </c>
    </row>
    <row r="104" spans="1:15" x14ac:dyDescent="0.3">
      <c r="A104" s="116" t="s">
        <v>495</v>
      </c>
      <c r="B104" s="117" t="s">
        <v>1996</v>
      </c>
      <c r="C104" s="118" t="s">
        <v>1655</v>
      </c>
      <c r="D104" s="119">
        <v>3.95</v>
      </c>
      <c r="E104" s="120">
        <v>0.22</v>
      </c>
      <c r="F104" s="166">
        <v>0.13</v>
      </c>
      <c r="G104" s="2">
        <f>D104*E104</f>
        <v>0.86899999999999999</v>
      </c>
      <c r="H104" s="121">
        <f>G104+D104</f>
        <v>4.819</v>
      </c>
      <c r="I104" s="9">
        <f>H104*0.21</f>
        <v>1.0119899999999999</v>
      </c>
      <c r="J104" s="122">
        <f>H104+I104</f>
        <v>5.8309899999999999</v>
      </c>
      <c r="L104" s="153">
        <f t="shared" si="30"/>
        <v>0.51350000000000007</v>
      </c>
      <c r="M104" s="121">
        <f t="shared" si="31"/>
        <v>4.4634999999999998</v>
      </c>
      <c r="N104" s="9">
        <f>M104*0.21</f>
        <v>0.93733499999999992</v>
      </c>
      <c r="O104" s="122">
        <f t="shared" si="32"/>
        <v>5.4008349999999998</v>
      </c>
    </row>
    <row r="105" spans="1:15" x14ac:dyDescent="0.3">
      <c r="F105" s="1"/>
      <c r="L105" s="154"/>
      <c r="M105" s="154"/>
      <c r="N105" s="154"/>
      <c r="O105" s="154"/>
    </row>
    <row r="106" spans="1:15" x14ac:dyDescent="0.3">
      <c r="A106" s="123" t="s">
        <v>71</v>
      </c>
      <c r="B106" s="124" t="s">
        <v>2231</v>
      </c>
      <c r="C106" s="125" t="s">
        <v>1655</v>
      </c>
      <c r="D106" s="126">
        <v>54.3</v>
      </c>
      <c r="E106" s="127">
        <v>0.02</v>
      </c>
      <c r="F106" s="167">
        <v>7.0000000000000007E-2</v>
      </c>
      <c r="G106" s="2">
        <f>D106*E106</f>
        <v>1.0860000000000001</v>
      </c>
      <c r="H106" s="128">
        <f>G106+D106</f>
        <v>55.385999999999996</v>
      </c>
      <c r="I106" s="9">
        <f>H106*0.21</f>
        <v>11.631059999999998</v>
      </c>
      <c r="J106" s="129">
        <f>H106+I106</f>
        <v>67.017059999999987</v>
      </c>
      <c r="L106" s="153">
        <f t="shared" si="30"/>
        <v>3.8010000000000002</v>
      </c>
      <c r="M106" s="128">
        <f t="shared" si="31"/>
        <v>58.100999999999999</v>
      </c>
      <c r="N106" s="9">
        <f>M106*0.21</f>
        <v>12.20121</v>
      </c>
      <c r="O106" s="129">
        <f t="shared" si="32"/>
        <v>70.302210000000002</v>
      </c>
    </row>
    <row r="107" spans="1:15" x14ac:dyDescent="0.3">
      <c r="A107" s="123" t="s">
        <v>1329</v>
      </c>
      <c r="B107" s="124" t="s">
        <v>1997</v>
      </c>
      <c r="C107" s="125" t="s">
        <v>1655</v>
      </c>
      <c r="D107" s="126">
        <v>58.43</v>
      </c>
      <c r="E107" s="127">
        <v>0.02</v>
      </c>
      <c r="F107" s="167">
        <v>7.0000000000000007E-2</v>
      </c>
      <c r="G107" s="2">
        <f>D107*E107</f>
        <v>1.1686000000000001</v>
      </c>
      <c r="H107" s="128">
        <f>G107+D107</f>
        <v>59.598599999999998</v>
      </c>
      <c r="I107" s="9">
        <f>H107*0.21</f>
        <v>12.515706</v>
      </c>
      <c r="J107" s="129">
        <f>H107+I107</f>
        <v>72.114305999999999</v>
      </c>
      <c r="L107" s="153">
        <f t="shared" si="30"/>
        <v>4.0901000000000005</v>
      </c>
      <c r="M107" s="128">
        <f t="shared" si="31"/>
        <v>62.520099999999999</v>
      </c>
      <c r="N107" s="9">
        <f>M107*0.21</f>
        <v>13.129220999999999</v>
      </c>
      <c r="O107" s="129">
        <f t="shared" si="32"/>
        <v>75.649321</v>
      </c>
    </row>
    <row r="108" spans="1:15" x14ac:dyDescent="0.3">
      <c r="A108" s="123" t="s">
        <v>1602</v>
      </c>
      <c r="B108" s="124" t="s">
        <v>1998</v>
      </c>
      <c r="C108" s="125" t="s">
        <v>1655</v>
      </c>
      <c r="D108" s="126">
        <v>62.56</v>
      </c>
      <c r="E108" s="127">
        <v>0.02</v>
      </c>
      <c r="F108" s="167">
        <v>7.0000000000000007E-2</v>
      </c>
      <c r="G108" s="2">
        <f>D108*E108</f>
        <v>1.2512000000000001</v>
      </c>
      <c r="H108" s="128">
        <f>G108+D108</f>
        <v>63.811199999999999</v>
      </c>
      <c r="I108" s="9">
        <f>H108*0.21</f>
        <v>13.400352</v>
      </c>
      <c r="J108" s="129">
        <f>H108+I108</f>
        <v>77.211551999999998</v>
      </c>
      <c r="L108" s="153">
        <f t="shared" si="30"/>
        <v>4.3792000000000009</v>
      </c>
      <c r="M108" s="128">
        <f t="shared" si="31"/>
        <v>66.9392</v>
      </c>
      <c r="N108" s="9">
        <f>M108*0.21</f>
        <v>14.057231999999999</v>
      </c>
      <c r="O108" s="129">
        <f t="shared" si="32"/>
        <v>80.996431999999999</v>
      </c>
    </row>
    <row r="109" spans="1:15" x14ac:dyDescent="0.3">
      <c r="F109" s="1"/>
      <c r="L109" s="154"/>
      <c r="M109" s="154"/>
      <c r="N109" s="154"/>
      <c r="O109" s="154"/>
    </row>
    <row r="110" spans="1:15" x14ac:dyDescent="0.3">
      <c r="A110" s="88" t="s">
        <v>31</v>
      </c>
      <c r="B110" s="89" t="s">
        <v>1999</v>
      </c>
      <c r="C110" s="90" t="s">
        <v>1655</v>
      </c>
      <c r="D110" s="541">
        <v>5.0199999999999996</v>
      </c>
      <c r="E110" s="91">
        <v>0.02</v>
      </c>
      <c r="F110" s="168">
        <v>0.03</v>
      </c>
      <c r="G110" s="2">
        <f t="shared" ref="G110:G173" si="42">D110*E110</f>
        <v>0.10039999999999999</v>
      </c>
      <c r="H110" s="92">
        <f t="shared" ref="H110:H173" si="43">G110+D110</f>
        <v>5.1203999999999992</v>
      </c>
      <c r="I110" s="9">
        <f t="shared" ref="I110:I173" si="44">H110*0.21</f>
        <v>1.0752839999999997</v>
      </c>
      <c r="J110" s="93">
        <f t="shared" ref="J110:J173" si="45">H110+I110</f>
        <v>6.1956839999999991</v>
      </c>
      <c r="L110" s="153">
        <f t="shared" si="30"/>
        <v>0.15059999999999998</v>
      </c>
      <c r="M110" s="92">
        <f t="shared" si="31"/>
        <v>5.1705999999999994</v>
      </c>
      <c r="N110" s="9">
        <f>M110*0.21</f>
        <v>1.0858259999999997</v>
      </c>
      <c r="O110" s="93">
        <f t="shared" si="32"/>
        <v>6.2564259999999994</v>
      </c>
    </row>
    <row r="111" spans="1:15" x14ac:dyDescent="0.3">
      <c r="A111" s="88" t="s">
        <v>104</v>
      </c>
      <c r="B111" s="89" t="s">
        <v>2000</v>
      </c>
      <c r="C111" s="90" t="s">
        <v>1655</v>
      </c>
      <c r="D111" s="541">
        <v>2.36</v>
      </c>
      <c r="E111" s="91">
        <v>0.04</v>
      </c>
      <c r="F111" s="168">
        <v>0.05</v>
      </c>
      <c r="G111" s="2">
        <f t="shared" si="42"/>
        <v>9.4399999999999998E-2</v>
      </c>
      <c r="H111" s="92">
        <f t="shared" si="43"/>
        <v>2.4543999999999997</v>
      </c>
      <c r="I111" s="9">
        <f t="shared" si="44"/>
        <v>0.51542399999999988</v>
      </c>
      <c r="J111" s="93">
        <f t="shared" si="45"/>
        <v>2.9698239999999996</v>
      </c>
      <c r="L111" s="153">
        <f t="shared" si="30"/>
        <v>0.11799999999999999</v>
      </c>
      <c r="M111" s="92">
        <f t="shared" si="31"/>
        <v>2.4779999999999998</v>
      </c>
      <c r="N111" s="9">
        <f t="shared" ref="N111:N174" si="46">M111*0.21</f>
        <v>0.52037999999999995</v>
      </c>
      <c r="O111" s="93">
        <f t="shared" si="32"/>
        <v>2.9983799999999996</v>
      </c>
    </row>
    <row r="112" spans="1:15" x14ac:dyDescent="0.3">
      <c r="A112" s="88" t="s">
        <v>150</v>
      </c>
      <c r="B112" s="89" t="s">
        <v>2001</v>
      </c>
      <c r="C112" s="90" t="s">
        <v>1655</v>
      </c>
      <c r="D112" s="541">
        <v>6.47</v>
      </c>
      <c r="E112" s="91">
        <v>0.06</v>
      </c>
      <c r="F112" s="168">
        <v>7.0000000000000007E-2</v>
      </c>
      <c r="G112" s="2">
        <f t="shared" si="42"/>
        <v>0.38819999999999999</v>
      </c>
      <c r="H112" s="92">
        <f t="shared" si="43"/>
        <v>6.8582000000000001</v>
      </c>
      <c r="I112" s="9">
        <f t="shared" si="44"/>
        <v>1.4402219999999999</v>
      </c>
      <c r="J112" s="93">
        <f t="shared" si="45"/>
        <v>8.2984220000000004</v>
      </c>
      <c r="L112" s="153">
        <f t="shared" si="30"/>
        <v>0.45290000000000002</v>
      </c>
      <c r="M112" s="92">
        <f t="shared" si="31"/>
        <v>6.9228999999999994</v>
      </c>
      <c r="N112" s="9">
        <f t="shared" si="46"/>
        <v>1.4538089999999999</v>
      </c>
      <c r="O112" s="93">
        <f t="shared" si="32"/>
        <v>8.376709</v>
      </c>
    </row>
    <row r="113" spans="1:15" x14ac:dyDescent="0.3">
      <c r="A113" s="88" t="s">
        <v>153</v>
      </c>
      <c r="B113" s="89" t="s">
        <v>2002</v>
      </c>
      <c r="C113" s="90" t="s">
        <v>1655</v>
      </c>
      <c r="D113" s="541">
        <v>8.15</v>
      </c>
      <c r="E113" s="91">
        <v>0.08</v>
      </c>
      <c r="F113" s="168">
        <v>0.09</v>
      </c>
      <c r="G113" s="2">
        <f t="shared" si="42"/>
        <v>0.65200000000000002</v>
      </c>
      <c r="H113" s="92">
        <f t="shared" si="43"/>
        <v>8.8019999999999996</v>
      </c>
      <c r="I113" s="9">
        <f t="shared" si="44"/>
        <v>1.84842</v>
      </c>
      <c r="J113" s="93">
        <f t="shared" si="45"/>
        <v>10.65042</v>
      </c>
      <c r="L113" s="153">
        <f t="shared" si="30"/>
        <v>0.73350000000000004</v>
      </c>
      <c r="M113" s="92">
        <f t="shared" si="31"/>
        <v>8.8834999999999997</v>
      </c>
      <c r="N113" s="9">
        <f t="shared" si="46"/>
        <v>1.8655349999999999</v>
      </c>
      <c r="O113" s="93">
        <f t="shared" si="32"/>
        <v>10.749034999999999</v>
      </c>
    </row>
    <row r="114" spans="1:15" x14ac:dyDescent="0.3">
      <c r="A114" s="88" t="s">
        <v>162</v>
      </c>
      <c r="B114" s="89" t="s">
        <v>2003</v>
      </c>
      <c r="C114" s="90" t="s">
        <v>1655</v>
      </c>
      <c r="D114" s="541">
        <v>17.36</v>
      </c>
      <c r="E114" s="91">
        <v>0.1</v>
      </c>
      <c r="F114" s="168">
        <v>0.11</v>
      </c>
      <c r="G114" s="2">
        <f t="shared" si="42"/>
        <v>1.736</v>
      </c>
      <c r="H114" s="92">
        <f t="shared" si="43"/>
        <v>19.096</v>
      </c>
      <c r="I114" s="9">
        <f t="shared" si="44"/>
        <v>4.0101599999999999</v>
      </c>
      <c r="J114" s="93">
        <f t="shared" si="45"/>
        <v>23.106159999999999</v>
      </c>
      <c r="L114" s="153">
        <f t="shared" si="30"/>
        <v>1.9096</v>
      </c>
      <c r="M114" s="92">
        <f t="shared" si="31"/>
        <v>19.269600000000001</v>
      </c>
      <c r="N114" s="9">
        <f t="shared" si="46"/>
        <v>4.0466160000000002</v>
      </c>
      <c r="O114" s="93">
        <f t="shared" si="32"/>
        <v>23.316216000000001</v>
      </c>
    </row>
    <row r="115" spans="1:15" x14ac:dyDescent="0.3">
      <c r="A115" s="88" t="s">
        <v>174</v>
      </c>
      <c r="B115" s="89" t="s">
        <v>2004</v>
      </c>
      <c r="C115" s="90" t="s">
        <v>1655</v>
      </c>
      <c r="D115" s="541">
        <v>12.04</v>
      </c>
      <c r="E115" s="91">
        <v>0.12</v>
      </c>
      <c r="F115" s="168">
        <v>0.13</v>
      </c>
      <c r="G115" s="2">
        <f t="shared" si="42"/>
        <v>1.4447999999999999</v>
      </c>
      <c r="H115" s="92">
        <f t="shared" si="43"/>
        <v>13.4848</v>
      </c>
      <c r="I115" s="9">
        <f t="shared" si="44"/>
        <v>2.8318079999999997</v>
      </c>
      <c r="J115" s="93">
        <f t="shared" si="45"/>
        <v>16.316607999999999</v>
      </c>
      <c r="L115" s="153">
        <f t="shared" si="30"/>
        <v>1.5651999999999999</v>
      </c>
      <c r="M115" s="92">
        <f t="shared" si="31"/>
        <v>13.6052</v>
      </c>
      <c r="N115" s="9">
        <f t="shared" si="46"/>
        <v>2.8570919999999997</v>
      </c>
      <c r="O115" s="93">
        <f t="shared" si="32"/>
        <v>16.462291999999998</v>
      </c>
    </row>
    <row r="116" spans="1:15" x14ac:dyDescent="0.3">
      <c r="A116" s="88" t="s">
        <v>183</v>
      </c>
      <c r="B116" s="89" t="s">
        <v>2005</v>
      </c>
      <c r="C116" s="90" t="s">
        <v>1655</v>
      </c>
      <c r="D116" s="541">
        <v>13.97</v>
      </c>
      <c r="E116" s="91">
        <v>0.14000000000000001</v>
      </c>
      <c r="F116" s="168">
        <v>0.15</v>
      </c>
      <c r="G116" s="2">
        <f t="shared" si="42"/>
        <v>1.9558000000000002</v>
      </c>
      <c r="H116" s="92">
        <f t="shared" si="43"/>
        <v>15.925800000000001</v>
      </c>
      <c r="I116" s="9">
        <f t="shared" si="44"/>
        <v>3.3444180000000001</v>
      </c>
      <c r="J116" s="93">
        <f t="shared" si="45"/>
        <v>19.270218</v>
      </c>
      <c r="L116" s="153">
        <f t="shared" si="30"/>
        <v>2.0954999999999999</v>
      </c>
      <c r="M116" s="92">
        <f t="shared" si="31"/>
        <v>16.0655</v>
      </c>
      <c r="N116" s="9">
        <f t="shared" si="46"/>
        <v>3.3737550000000001</v>
      </c>
      <c r="O116" s="93">
        <f t="shared" si="32"/>
        <v>19.439254999999999</v>
      </c>
    </row>
    <row r="117" spans="1:15" x14ac:dyDescent="0.3">
      <c r="A117" s="88" t="s">
        <v>195</v>
      </c>
      <c r="B117" s="89" t="s">
        <v>2006</v>
      </c>
      <c r="C117" s="90" t="s">
        <v>1655</v>
      </c>
      <c r="D117" s="541">
        <v>7.68</v>
      </c>
      <c r="E117" s="91">
        <v>0.16</v>
      </c>
      <c r="F117" s="168">
        <v>0.17</v>
      </c>
      <c r="G117" s="2">
        <f t="shared" si="42"/>
        <v>1.2287999999999999</v>
      </c>
      <c r="H117" s="92">
        <f t="shared" si="43"/>
        <v>8.9087999999999994</v>
      </c>
      <c r="I117" s="9">
        <f t="shared" si="44"/>
        <v>1.8708479999999998</v>
      </c>
      <c r="J117" s="93">
        <f t="shared" si="45"/>
        <v>10.779648</v>
      </c>
      <c r="L117" s="153">
        <f t="shared" si="30"/>
        <v>1.3056000000000001</v>
      </c>
      <c r="M117" s="92">
        <f t="shared" si="31"/>
        <v>8.9855999999999998</v>
      </c>
      <c r="N117" s="9">
        <f t="shared" si="46"/>
        <v>1.886976</v>
      </c>
      <c r="O117" s="93">
        <f t="shared" si="32"/>
        <v>10.872576</v>
      </c>
    </row>
    <row r="118" spans="1:15" x14ac:dyDescent="0.3">
      <c r="A118" s="88" t="s">
        <v>197</v>
      </c>
      <c r="B118" s="89" t="s">
        <v>2007</v>
      </c>
      <c r="C118" s="90" t="s">
        <v>1655</v>
      </c>
      <c r="D118" s="541">
        <v>16.88</v>
      </c>
      <c r="E118" s="91">
        <v>0.18</v>
      </c>
      <c r="F118" s="168">
        <v>0.19</v>
      </c>
      <c r="G118" s="2">
        <f t="shared" si="42"/>
        <v>3.0383999999999998</v>
      </c>
      <c r="H118" s="92">
        <f t="shared" si="43"/>
        <v>19.918399999999998</v>
      </c>
      <c r="I118" s="9">
        <f t="shared" si="44"/>
        <v>4.1828639999999995</v>
      </c>
      <c r="J118" s="93">
        <f t="shared" si="45"/>
        <v>24.101263999999997</v>
      </c>
      <c r="L118" s="153">
        <f t="shared" si="30"/>
        <v>3.2071999999999998</v>
      </c>
      <c r="M118" s="92">
        <f t="shared" si="31"/>
        <v>20.087199999999999</v>
      </c>
      <c r="N118" s="9">
        <f t="shared" si="46"/>
        <v>4.2183120000000001</v>
      </c>
      <c r="O118" s="93">
        <f t="shared" si="32"/>
        <v>24.305512</v>
      </c>
    </row>
    <row r="119" spans="1:15" x14ac:dyDescent="0.3">
      <c r="A119" s="88" t="s">
        <v>205</v>
      </c>
      <c r="B119" s="89" t="s">
        <v>2008</v>
      </c>
      <c r="C119" s="90" t="s">
        <v>1655</v>
      </c>
      <c r="D119" s="541">
        <v>3.08</v>
      </c>
      <c r="E119" s="91">
        <v>0.2</v>
      </c>
      <c r="F119" s="168">
        <v>0.21</v>
      </c>
      <c r="G119" s="2">
        <f t="shared" si="42"/>
        <v>0.6160000000000001</v>
      </c>
      <c r="H119" s="92">
        <f t="shared" si="43"/>
        <v>3.6960000000000002</v>
      </c>
      <c r="I119" s="9">
        <f t="shared" si="44"/>
        <v>0.77615999999999996</v>
      </c>
      <c r="J119" s="93">
        <f t="shared" si="45"/>
        <v>4.4721600000000006</v>
      </c>
      <c r="L119" s="153">
        <f t="shared" si="30"/>
        <v>0.64680000000000004</v>
      </c>
      <c r="M119" s="92">
        <f t="shared" si="31"/>
        <v>3.7267999999999999</v>
      </c>
      <c r="N119" s="9">
        <f t="shared" si="46"/>
        <v>0.78262799999999999</v>
      </c>
      <c r="O119" s="93">
        <f t="shared" si="32"/>
        <v>4.5094279999999998</v>
      </c>
    </row>
    <row r="120" spans="1:15" x14ac:dyDescent="0.3">
      <c r="A120" s="88" t="s">
        <v>225</v>
      </c>
      <c r="B120" s="89" t="s">
        <v>2009</v>
      </c>
      <c r="C120" s="90" t="s">
        <v>1655</v>
      </c>
      <c r="D120" s="541">
        <v>3.31</v>
      </c>
      <c r="E120" s="91">
        <v>0.22</v>
      </c>
      <c r="F120" s="168">
        <v>0.23</v>
      </c>
      <c r="G120" s="2">
        <f t="shared" si="42"/>
        <v>0.72820000000000007</v>
      </c>
      <c r="H120" s="92">
        <f t="shared" si="43"/>
        <v>4.0381999999999998</v>
      </c>
      <c r="I120" s="9">
        <f t="shared" si="44"/>
        <v>0.84802199999999994</v>
      </c>
      <c r="J120" s="93">
        <f t="shared" si="45"/>
        <v>4.8862220000000001</v>
      </c>
      <c r="L120" s="153">
        <f t="shared" si="30"/>
        <v>0.76130000000000009</v>
      </c>
      <c r="M120" s="92">
        <f t="shared" si="31"/>
        <v>4.0712999999999999</v>
      </c>
      <c r="N120" s="9">
        <f t="shared" si="46"/>
        <v>0.85497299999999998</v>
      </c>
      <c r="O120" s="93">
        <f t="shared" si="32"/>
        <v>4.9262730000000001</v>
      </c>
    </row>
    <row r="121" spans="1:15" x14ac:dyDescent="0.3">
      <c r="A121" s="88" t="s">
        <v>228</v>
      </c>
      <c r="B121" s="89" t="s">
        <v>2010</v>
      </c>
      <c r="C121" s="90" t="s">
        <v>1655</v>
      </c>
      <c r="D121" s="541">
        <v>2.1</v>
      </c>
      <c r="E121" s="91">
        <v>0.24</v>
      </c>
      <c r="F121" s="168">
        <v>0.25</v>
      </c>
      <c r="G121" s="2">
        <f t="shared" si="42"/>
        <v>0.504</v>
      </c>
      <c r="H121" s="92">
        <f t="shared" si="43"/>
        <v>2.6040000000000001</v>
      </c>
      <c r="I121" s="9">
        <f t="shared" si="44"/>
        <v>0.54683999999999999</v>
      </c>
      <c r="J121" s="93">
        <f t="shared" si="45"/>
        <v>3.1508400000000001</v>
      </c>
      <c r="L121" s="153">
        <f t="shared" si="30"/>
        <v>0.52500000000000002</v>
      </c>
      <c r="M121" s="92">
        <f t="shared" si="31"/>
        <v>2.625</v>
      </c>
      <c r="N121" s="9">
        <f t="shared" si="46"/>
        <v>0.55125000000000002</v>
      </c>
      <c r="O121" s="93">
        <f t="shared" si="32"/>
        <v>3.17625</v>
      </c>
    </row>
    <row r="122" spans="1:15" x14ac:dyDescent="0.3">
      <c r="A122" s="88" t="s">
        <v>264</v>
      </c>
      <c r="B122" s="89" t="s">
        <v>2011</v>
      </c>
      <c r="C122" s="90" t="s">
        <v>1655</v>
      </c>
      <c r="D122" s="541">
        <v>14.7</v>
      </c>
      <c r="E122" s="91">
        <v>0.26</v>
      </c>
      <c r="F122" s="168">
        <v>0.27</v>
      </c>
      <c r="G122" s="2">
        <f t="shared" si="42"/>
        <v>3.8220000000000001</v>
      </c>
      <c r="H122" s="92">
        <f t="shared" si="43"/>
        <v>18.521999999999998</v>
      </c>
      <c r="I122" s="9">
        <f t="shared" si="44"/>
        <v>3.8896199999999994</v>
      </c>
      <c r="J122" s="93">
        <f t="shared" si="45"/>
        <v>22.411619999999999</v>
      </c>
      <c r="L122" s="153">
        <f t="shared" si="30"/>
        <v>3.9689999999999999</v>
      </c>
      <c r="M122" s="92">
        <f t="shared" si="31"/>
        <v>18.669</v>
      </c>
      <c r="N122" s="9">
        <f t="shared" si="46"/>
        <v>3.92049</v>
      </c>
      <c r="O122" s="93">
        <f t="shared" si="32"/>
        <v>22.589490000000001</v>
      </c>
    </row>
    <row r="123" spans="1:15" x14ac:dyDescent="0.3">
      <c r="A123" s="88" t="s">
        <v>340</v>
      </c>
      <c r="B123" s="89" t="s">
        <v>2012</v>
      </c>
      <c r="C123" s="90" t="s">
        <v>1655</v>
      </c>
      <c r="D123" s="541">
        <v>5.26</v>
      </c>
      <c r="E123" s="91">
        <v>0.28000000000000003</v>
      </c>
      <c r="F123" s="168">
        <v>0.28999999999999998</v>
      </c>
      <c r="G123" s="2">
        <f t="shared" si="42"/>
        <v>1.4728000000000001</v>
      </c>
      <c r="H123" s="92">
        <f t="shared" si="43"/>
        <v>6.7328000000000001</v>
      </c>
      <c r="I123" s="9">
        <f t="shared" si="44"/>
        <v>1.413888</v>
      </c>
      <c r="J123" s="93">
        <f t="shared" si="45"/>
        <v>8.146688000000001</v>
      </c>
      <c r="L123" s="153">
        <f t="shared" ref="L123:L184" si="47">D123*F123</f>
        <v>1.5253999999999999</v>
      </c>
      <c r="M123" s="92">
        <f t="shared" ref="M123:M184" si="48">D123+L123</f>
        <v>6.7853999999999992</v>
      </c>
      <c r="N123" s="9">
        <f t="shared" si="46"/>
        <v>1.4249339999999997</v>
      </c>
      <c r="O123" s="93">
        <f t="shared" ref="O123:O184" si="49">M123+N123</f>
        <v>8.2103339999999996</v>
      </c>
    </row>
    <row r="124" spans="1:15" x14ac:dyDescent="0.3">
      <c r="A124" s="88" t="s">
        <v>362</v>
      </c>
      <c r="B124" s="89" t="s">
        <v>2013</v>
      </c>
      <c r="C124" s="90" t="s">
        <v>1655</v>
      </c>
      <c r="D124" s="541">
        <v>15.91</v>
      </c>
      <c r="E124" s="91">
        <v>0.3</v>
      </c>
      <c r="F124" s="168">
        <v>0.31</v>
      </c>
      <c r="G124" s="2">
        <f t="shared" si="42"/>
        <v>4.7729999999999997</v>
      </c>
      <c r="H124" s="92">
        <f t="shared" si="43"/>
        <v>20.683</v>
      </c>
      <c r="I124" s="9">
        <f t="shared" si="44"/>
        <v>4.3434299999999997</v>
      </c>
      <c r="J124" s="93">
        <f t="shared" si="45"/>
        <v>25.026429999999998</v>
      </c>
      <c r="L124" s="153">
        <f t="shared" si="47"/>
        <v>4.9321000000000002</v>
      </c>
      <c r="M124" s="92">
        <f t="shared" si="48"/>
        <v>20.842100000000002</v>
      </c>
      <c r="N124" s="9">
        <f t="shared" si="46"/>
        <v>4.3768410000000006</v>
      </c>
      <c r="O124" s="93">
        <f t="shared" si="49"/>
        <v>25.218941000000001</v>
      </c>
    </row>
    <row r="125" spans="1:15" x14ac:dyDescent="0.3">
      <c r="A125" s="88" t="s">
        <v>386</v>
      </c>
      <c r="B125" s="89" t="s">
        <v>2014</v>
      </c>
      <c r="C125" s="90" t="s">
        <v>1655</v>
      </c>
      <c r="D125" s="541">
        <v>4.05</v>
      </c>
      <c r="E125" s="91">
        <v>0.32</v>
      </c>
      <c r="F125" s="168">
        <v>0.33</v>
      </c>
      <c r="G125" s="2">
        <f t="shared" si="42"/>
        <v>1.296</v>
      </c>
      <c r="H125" s="92">
        <f t="shared" si="43"/>
        <v>5.3460000000000001</v>
      </c>
      <c r="I125" s="9">
        <f t="shared" si="44"/>
        <v>1.12266</v>
      </c>
      <c r="J125" s="93">
        <f t="shared" si="45"/>
        <v>6.4686599999999999</v>
      </c>
      <c r="L125" s="153">
        <f t="shared" si="47"/>
        <v>1.3365</v>
      </c>
      <c r="M125" s="92">
        <f t="shared" si="48"/>
        <v>5.3864999999999998</v>
      </c>
      <c r="N125" s="9">
        <f t="shared" si="46"/>
        <v>1.131165</v>
      </c>
      <c r="O125" s="93">
        <f t="shared" si="49"/>
        <v>6.517665</v>
      </c>
    </row>
    <row r="126" spans="1:15" x14ac:dyDescent="0.3">
      <c r="A126" s="88" t="s">
        <v>432</v>
      </c>
      <c r="B126" s="89" t="s">
        <v>2015</v>
      </c>
      <c r="C126" s="90" t="s">
        <v>1655</v>
      </c>
      <c r="D126" s="541">
        <v>9.36</v>
      </c>
      <c r="E126" s="91">
        <v>0.34</v>
      </c>
      <c r="F126" s="168">
        <v>0.35</v>
      </c>
      <c r="G126" s="2">
        <f t="shared" si="42"/>
        <v>3.1823999999999999</v>
      </c>
      <c r="H126" s="92">
        <f t="shared" si="43"/>
        <v>12.542399999999999</v>
      </c>
      <c r="I126" s="9">
        <f t="shared" si="44"/>
        <v>2.6339039999999998</v>
      </c>
      <c r="J126" s="93">
        <f t="shared" si="45"/>
        <v>15.176303999999998</v>
      </c>
      <c r="L126" s="153">
        <f t="shared" si="47"/>
        <v>3.2759999999999998</v>
      </c>
      <c r="M126" s="92">
        <f t="shared" si="48"/>
        <v>12.635999999999999</v>
      </c>
      <c r="N126" s="9">
        <f t="shared" si="46"/>
        <v>2.6535599999999997</v>
      </c>
      <c r="O126" s="93">
        <f t="shared" si="49"/>
        <v>15.289559999999998</v>
      </c>
    </row>
    <row r="127" spans="1:15" x14ac:dyDescent="0.3">
      <c r="A127" s="88" t="s">
        <v>433</v>
      </c>
      <c r="B127" s="89" t="s">
        <v>2016</v>
      </c>
      <c r="C127" s="90" t="s">
        <v>1655</v>
      </c>
      <c r="D127" s="541">
        <v>10.1</v>
      </c>
      <c r="E127" s="91">
        <v>0.36</v>
      </c>
      <c r="F127" s="168">
        <v>0.37</v>
      </c>
      <c r="G127" s="2">
        <f t="shared" si="42"/>
        <v>3.6359999999999997</v>
      </c>
      <c r="H127" s="92">
        <f t="shared" si="43"/>
        <v>13.735999999999999</v>
      </c>
      <c r="I127" s="9">
        <f t="shared" si="44"/>
        <v>2.8845599999999996</v>
      </c>
      <c r="J127" s="93">
        <f t="shared" si="45"/>
        <v>16.620559999999998</v>
      </c>
      <c r="L127" s="153">
        <f t="shared" si="47"/>
        <v>3.7369999999999997</v>
      </c>
      <c r="M127" s="92">
        <f t="shared" si="48"/>
        <v>13.837</v>
      </c>
      <c r="N127" s="9">
        <f t="shared" si="46"/>
        <v>2.90577</v>
      </c>
      <c r="O127" s="93">
        <f t="shared" si="49"/>
        <v>16.74277</v>
      </c>
    </row>
    <row r="128" spans="1:15" x14ac:dyDescent="0.3">
      <c r="A128" s="88" t="s">
        <v>436</v>
      </c>
      <c r="B128" s="89" t="s">
        <v>2017</v>
      </c>
      <c r="C128" s="90" t="s">
        <v>1655</v>
      </c>
      <c r="D128" s="541">
        <v>13.49</v>
      </c>
      <c r="E128" s="91">
        <v>0.38</v>
      </c>
      <c r="F128" s="168">
        <v>0.39</v>
      </c>
      <c r="G128" s="2">
        <f t="shared" si="42"/>
        <v>5.1261999999999999</v>
      </c>
      <c r="H128" s="92">
        <f t="shared" si="43"/>
        <v>18.616199999999999</v>
      </c>
      <c r="I128" s="9">
        <f t="shared" si="44"/>
        <v>3.9094019999999996</v>
      </c>
      <c r="J128" s="93">
        <f t="shared" si="45"/>
        <v>22.525601999999999</v>
      </c>
      <c r="L128" s="153">
        <f t="shared" si="47"/>
        <v>5.2610999999999999</v>
      </c>
      <c r="M128" s="92">
        <f t="shared" si="48"/>
        <v>18.751100000000001</v>
      </c>
      <c r="N128" s="9">
        <f t="shared" si="46"/>
        <v>3.9377309999999999</v>
      </c>
      <c r="O128" s="93">
        <f t="shared" si="49"/>
        <v>22.688831</v>
      </c>
    </row>
    <row r="129" spans="1:15" x14ac:dyDescent="0.3">
      <c r="A129" s="88" t="s">
        <v>453</v>
      </c>
      <c r="B129" s="89" t="s">
        <v>2018</v>
      </c>
      <c r="C129" s="90" t="s">
        <v>1655</v>
      </c>
      <c r="D129" s="541">
        <v>8.16</v>
      </c>
      <c r="E129" s="91">
        <v>0.4</v>
      </c>
      <c r="F129" s="168">
        <v>0.41</v>
      </c>
      <c r="G129" s="2">
        <f t="shared" si="42"/>
        <v>3.2640000000000002</v>
      </c>
      <c r="H129" s="92">
        <f t="shared" si="43"/>
        <v>11.423999999999999</v>
      </c>
      <c r="I129" s="9">
        <f t="shared" si="44"/>
        <v>2.3990399999999998</v>
      </c>
      <c r="J129" s="93">
        <f t="shared" si="45"/>
        <v>13.823039999999999</v>
      </c>
      <c r="L129" s="153">
        <f t="shared" si="47"/>
        <v>3.3455999999999997</v>
      </c>
      <c r="M129" s="92">
        <f t="shared" si="48"/>
        <v>11.505599999999999</v>
      </c>
      <c r="N129" s="9">
        <f t="shared" si="46"/>
        <v>2.4161759999999997</v>
      </c>
      <c r="O129" s="93">
        <f t="shared" si="49"/>
        <v>13.921775999999999</v>
      </c>
    </row>
    <row r="130" spans="1:15" x14ac:dyDescent="0.3">
      <c r="A130" s="88" t="s">
        <v>513</v>
      </c>
      <c r="B130" s="343" t="s">
        <v>2019</v>
      </c>
      <c r="C130" s="90" t="s">
        <v>1655</v>
      </c>
      <c r="D130" s="541">
        <v>12.28</v>
      </c>
      <c r="E130" s="91">
        <v>0.42</v>
      </c>
      <c r="F130" s="168">
        <v>0.43</v>
      </c>
      <c r="G130" s="2">
        <f t="shared" si="42"/>
        <v>5.1575999999999995</v>
      </c>
      <c r="H130" s="92">
        <f t="shared" si="43"/>
        <v>17.4376</v>
      </c>
      <c r="I130" s="9">
        <f t="shared" si="44"/>
        <v>3.6618959999999996</v>
      </c>
      <c r="J130" s="93">
        <f t="shared" si="45"/>
        <v>21.099495999999998</v>
      </c>
      <c r="L130" s="153">
        <f t="shared" si="47"/>
        <v>5.2803999999999993</v>
      </c>
      <c r="M130" s="92">
        <f t="shared" si="48"/>
        <v>17.560399999999998</v>
      </c>
      <c r="N130" s="9">
        <f t="shared" si="46"/>
        <v>3.6876839999999995</v>
      </c>
      <c r="O130" s="93">
        <f t="shared" si="49"/>
        <v>21.248083999999999</v>
      </c>
    </row>
    <row r="131" spans="1:15" x14ac:dyDescent="0.3">
      <c r="A131" s="88" t="s">
        <v>514</v>
      </c>
      <c r="B131" s="343" t="s">
        <v>2020</v>
      </c>
      <c r="C131" s="90" t="s">
        <v>1655</v>
      </c>
      <c r="D131" s="541">
        <v>6.23</v>
      </c>
      <c r="E131" s="91">
        <v>0.44</v>
      </c>
      <c r="F131" s="168">
        <v>0.45</v>
      </c>
      <c r="G131" s="2">
        <f t="shared" si="42"/>
        <v>2.7412000000000001</v>
      </c>
      <c r="H131" s="92">
        <f t="shared" si="43"/>
        <v>8.9711999999999996</v>
      </c>
      <c r="I131" s="9">
        <f t="shared" si="44"/>
        <v>1.8839519999999998</v>
      </c>
      <c r="J131" s="93">
        <f t="shared" si="45"/>
        <v>10.855152</v>
      </c>
      <c r="L131" s="153">
        <f t="shared" si="47"/>
        <v>2.8035000000000001</v>
      </c>
      <c r="M131" s="92">
        <f t="shared" si="48"/>
        <v>9.0335000000000001</v>
      </c>
      <c r="N131" s="9">
        <f t="shared" si="46"/>
        <v>1.897035</v>
      </c>
      <c r="O131" s="93">
        <f t="shared" si="49"/>
        <v>10.930535000000001</v>
      </c>
    </row>
    <row r="132" spans="1:15" x14ac:dyDescent="0.3">
      <c r="A132" s="88" t="s">
        <v>2021</v>
      </c>
      <c r="B132" s="343" t="s">
        <v>2022</v>
      </c>
      <c r="C132" s="90" t="s">
        <v>1655</v>
      </c>
      <c r="D132" s="541">
        <v>16.63</v>
      </c>
      <c r="E132" s="91">
        <v>0.46</v>
      </c>
      <c r="F132" s="168">
        <v>0.47</v>
      </c>
      <c r="G132" s="2">
        <f t="shared" si="42"/>
        <v>7.6497999999999999</v>
      </c>
      <c r="H132" s="92">
        <f t="shared" si="43"/>
        <v>24.279799999999998</v>
      </c>
      <c r="I132" s="9">
        <f t="shared" si="44"/>
        <v>5.0987579999999992</v>
      </c>
      <c r="J132" s="93">
        <f t="shared" si="45"/>
        <v>29.378557999999998</v>
      </c>
      <c r="L132" s="153">
        <f t="shared" si="47"/>
        <v>7.8160999999999987</v>
      </c>
      <c r="M132" s="92">
        <f t="shared" si="48"/>
        <v>24.446099999999998</v>
      </c>
      <c r="N132" s="9">
        <f t="shared" si="46"/>
        <v>5.1336809999999993</v>
      </c>
      <c r="O132" s="93">
        <f t="shared" si="49"/>
        <v>29.579780999999997</v>
      </c>
    </row>
    <row r="133" spans="1:15" x14ac:dyDescent="0.3">
      <c r="A133" s="88" t="s">
        <v>2023</v>
      </c>
      <c r="B133" s="343" t="s">
        <v>2024</v>
      </c>
      <c r="C133" s="90" t="s">
        <v>1655</v>
      </c>
      <c r="D133" s="541">
        <v>4.78</v>
      </c>
      <c r="E133" s="91">
        <v>0.48</v>
      </c>
      <c r="F133" s="168">
        <v>0.49</v>
      </c>
      <c r="G133" s="2">
        <f t="shared" si="42"/>
        <v>2.2944</v>
      </c>
      <c r="H133" s="92">
        <f t="shared" si="43"/>
        <v>7.0744000000000007</v>
      </c>
      <c r="I133" s="9">
        <f t="shared" si="44"/>
        <v>1.4856240000000001</v>
      </c>
      <c r="J133" s="93">
        <f t="shared" si="45"/>
        <v>8.5600240000000003</v>
      </c>
      <c r="L133" s="153">
        <f t="shared" si="47"/>
        <v>2.3422000000000001</v>
      </c>
      <c r="M133" s="92">
        <f t="shared" si="48"/>
        <v>7.1222000000000003</v>
      </c>
      <c r="N133" s="9">
        <f t="shared" si="46"/>
        <v>1.495662</v>
      </c>
      <c r="O133" s="93">
        <f t="shared" si="49"/>
        <v>8.6178620000000006</v>
      </c>
    </row>
    <row r="134" spans="1:15" x14ac:dyDescent="0.3">
      <c r="A134" s="88" t="s">
        <v>2025</v>
      </c>
      <c r="B134" s="343" t="s">
        <v>2026</v>
      </c>
      <c r="C134" s="90" t="s">
        <v>1655</v>
      </c>
      <c r="D134" s="541">
        <v>11.31</v>
      </c>
      <c r="E134" s="91">
        <v>0.5</v>
      </c>
      <c r="F134" s="168">
        <v>0.51</v>
      </c>
      <c r="G134" s="2">
        <f t="shared" si="42"/>
        <v>5.6550000000000002</v>
      </c>
      <c r="H134" s="92">
        <f t="shared" si="43"/>
        <v>16.965</v>
      </c>
      <c r="I134" s="9">
        <f t="shared" si="44"/>
        <v>3.5626499999999997</v>
      </c>
      <c r="J134" s="93">
        <f t="shared" si="45"/>
        <v>20.527650000000001</v>
      </c>
      <c r="L134" s="153">
        <f t="shared" si="47"/>
        <v>5.7681000000000004</v>
      </c>
      <c r="M134" s="92">
        <f t="shared" si="48"/>
        <v>17.078099999999999</v>
      </c>
      <c r="N134" s="9">
        <f t="shared" si="46"/>
        <v>3.5864009999999995</v>
      </c>
      <c r="O134" s="93">
        <f t="shared" si="49"/>
        <v>20.664500999999998</v>
      </c>
    </row>
    <row r="135" spans="1:15" x14ac:dyDescent="0.3">
      <c r="A135" s="88" t="s">
        <v>2027</v>
      </c>
      <c r="B135" s="343" t="s">
        <v>2028</v>
      </c>
      <c r="C135" s="90" t="s">
        <v>1655</v>
      </c>
      <c r="D135" s="541">
        <v>9.6199999999999992</v>
      </c>
      <c r="E135" s="91">
        <v>0.52</v>
      </c>
      <c r="F135" s="168">
        <v>0.53</v>
      </c>
      <c r="G135" s="2">
        <f t="shared" si="42"/>
        <v>5.0023999999999997</v>
      </c>
      <c r="H135" s="92">
        <f t="shared" si="43"/>
        <v>14.622399999999999</v>
      </c>
      <c r="I135" s="9">
        <f t="shared" si="44"/>
        <v>3.0707039999999997</v>
      </c>
      <c r="J135" s="93">
        <f t="shared" si="45"/>
        <v>17.693103999999998</v>
      </c>
      <c r="L135" s="153">
        <f t="shared" si="47"/>
        <v>5.0986000000000002</v>
      </c>
      <c r="M135" s="92">
        <f t="shared" si="48"/>
        <v>14.718599999999999</v>
      </c>
      <c r="N135" s="9">
        <f t="shared" si="46"/>
        <v>3.0909059999999995</v>
      </c>
      <c r="O135" s="93">
        <f t="shared" si="49"/>
        <v>17.809505999999999</v>
      </c>
    </row>
    <row r="136" spans="1:15" x14ac:dyDescent="0.3">
      <c r="A136" s="88" t="s">
        <v>2029</v>
      </c>
      <c r="B136" s="343" t="s">
        <v>2030</v>
      </c>
      <c r="C136" s="90" t="s">
        <v>1655</v>
      </c>
      <c r="D136" s="541">
        <v>14.46</v>
      </c>
      <c r="E136" s="91">
        <v>0.54</v>
      </c>
      <c r="F136" s="168">
        <v>0.55000000000000004</v>
      </c>
      <c r="G136" s="2">
        <f t="shared" si="42"/>
        <v>7.8084000000000007</v>
      </c>
      <c r="H136" s="92">
        <f t="shared" si="43"/>
        <v>22.2684</v>
      </c>
      <c r="I136" s="9">
        <f t="shared" si="44"/>
        <v>4.6763639999999995</v>
      </c>
      <c r="J136" s="93">
        <f t="shared" si="45"/>
        <v>26.944763999999999</v>
      </c>
      <c r="L136" s="153">
        <f t="shared" si="47"/>
        <v>7.9530000000000012</v>
      </c>
      <c r="M136" s="92">
        <f t="shared" si="48"/>
        <v>22.413000000000004</v>
      </c>
      <c r="N136" s="9">
        <f t="shared" si="46"/>
        <v>4.7067300000000003</v>
      </c>
      <c r="O136" s="93">
        <f t="shared" si="49"/>
        <v>27.119730000000004</v>
      </c>
    </row>
    <row r="137" spans="1:15" x14ac:dyDescent="0.3">
      <c r="A137" s="88" t="s">
        <v>2031</v>
      </c>
      <c r="B137" s="343" t="s">
        <v>2032</v>
      </c>
      <c r="C137" s="90" t="s">
        <v>1655</v>
      </c>
      <c r="D137" s="541">
        <v>7.44</v>
      </c>
      <c r="E137" s="91">
        <v>0.56000000000000005</v>
      </c>
      <c r="F137" s="168">
        <v>0.56999999999999995</v>
      </c>
      <c r="G137" s="2">
        <f t="shared" si="42"/>
        <v>4.1664000000000003</v>
      </c>
      <c r="H137" s="92">
        <f t="shared" si="43"/>
        <v>11.606400000000001</v>
      </c>
      <c r="I137" s="9">
        <f t="shared" si="44"/>
        <v>2.437344</v>
      </c>
      <c r="J137" s="93">
        <f t="shared" si="45"/>
        <v>14.043744</v>
      </c>
      <c r="L137" s="153">
        <f t="shared" si="47"/>
        <v>4.2408000000000001</v>
      </c>
      <c r="M137" s="92">
        <f t="shared" si="48"/>
        <v>11.680800000000001</v>
      </c>
      <c r="N137" s="9">
        <f t="shared" si="46"/>
        <v>2.4529680000000003</v>
      </c>
      <c r="O137" s="93">
        <f t="shared" si="49"/>
        <v>14.133768000000002</v>
      </c>
    </row>
    <row r="138" spans="1:15" x14ac:dyDescent="0.3">
      <c r="A138" s="88" t="s">
        <v>2033</v>
      </c>
      <c r="B138" s="343" t="s">
        <v>2034</v>
      </c>
      <c r="C138" s="90" t="s">
        <v>1655</v>
      </c>
      <c r="D138" s="541">
        <v>12.52</v>
      </c>
      <c r="E138" s="91">
        <v>0.57999999999999996</v>
      </c>
      <c r="F138" s="168">
        <v>0.59</v>
      </c>
      <c r="G138" s="2">
        <f t="shared" si="42"/>
        <v>7.2615999999999996</v>
      </c>
      <c r="H138" s="92">
        <f t="shared" si="43"/>
        <v>19.781599999999997</v>
      </c>
      <c r="I138" s="9">
        <f t="shared" si="44"/>
        <v>4.1541359999999994</v>
      </c>
      <c r="J138" s="93">
        <f t="shared" si="45"/>
        <v>23.935735999999999</v>
      </c>
      <c r="L138" s="153">
        <f t="shared" si="47"/>
        <v>7.3867999999999991</v>
      </c>
      <c r="M138" s="92">
        <f t="shared" si="48"/>
        <v>19.906799999999997</v>
      </c>
      <c r="N138" s="9">
        <f t="shared" si="46"/>
        <v>4.1804279999999991</v>
      </c>
      <c r="O138" s="93">
        <f t="shared" si="49"/>
        <v>24.087227999999996</v>
      </c>
    </row>
    <row r="139" spans="1:15" x14ac:dyDescent="0.3">
      <c r="A139" s="88" t="s">
        <v>2035</v>
      </c>
      <c r="B139" s="343" t="s">
        <v>2036</v>
      </c>
      <c r="C139" s="90" t="s">
        <v>1655</v>
      </c>
      <c r="D139" s="541">
        <v>3.57</v>
      </c>
      <c r="E139" s="91">
        <v>0.6</v>
      </c>
      <c r="F139" s="168">
        <v>0.61</v>
      </c>
      <c r="G139" s="2">
        <f t="shared" si="42"/>
        <v>2.1419999999999999</v>
      </c>
      <c r="H139" s="92">
        <f t="shared" si="43"/>
        <v>5.7119999999999997</v>
      </c>
      <c r="I139" s="9">
        <f t="shared" si="44"/>
        <v>1.1995199999999999</v>
      </c>
      <c r="J139" s="93">
        <f t="shared" si="45"/>
        <v>6.9115199999999994</v>
      </c>
      <c r="L139" s="153">
        <f t="shared" si="47"/>
        <v>2.1776999999999997</v>
      </c>
      <c r="M139" s="92">
        <f t="shared" si="48"/>
        <v>5.7477</v>
      </c>
      <c r="N139" s="9">
        <f t="shared" si="46"/>
        <v>1.207017</v>
      </c>
      <c r="O139" s="93">
        <f t="shared" si="49"/>
        <v>6.9547170000000005</v>
      </c>
    </row>
    <row r="140" spans="1:15" x14ac:dyDescent="0.3">
      <c r="A140" s="88" t="s">
        <v>2037</v>
      </c>
      <c r="B140" s="343" t="s">
        <v>2038</v>
      </c>
      <c r="C140" s="90" t="s">
        <v>1655</v>
      </c>
      <c r="D140" s="541">
        <v>15.42</v>
      </c>
      <c r="E140" s="91">
        <v>0.62</v>
      </c>
      <c r="F140" s="168">
        <v>0.63</v>
      </c>
      <c r="G140" s="2">
        <f t="shared" si="42"/>
        <v>9.5603999999999996</v>
      </c>
      <c r="H140" s="92">
        <f t="shared" si="43"/>
        <v>24.980399999999999</v>
      </c>
      <c r="I140" s="9">
        <f t="shared" si="44"/>
        <v>5.2458839999999993</v>
      </c>
      <c r="J140" s="93">
        <f t="shared" si="45"/>
        <v>30.226284</v>
      </c>
      <c r="L140" s="153">
        <f t="shared" si="47"/>
        <v>9.7146000000000008</v>
      </c>
      <c r="M140" s="92">
        <f t="shared" si="48"/>
        <v>25.134599999999999</v>
      </c>
      <c r="N140" s="9">
        <f t="shared" si="46"/>
        <v>5.2782659999999995</v>
      </c>
      <c r="O140" s="93">
        <f t="shared" si="49"/>
        <v>30.412865999999998</v>
      </c>
    </row>
    <row r="141" spans="1:15" x14ac:dyDescent="0.3">
      <c r="A141" s="88" t="s">
        <v>2039</v>
      </c>
      <c r="B141" s="343" t="s">
        <v>2040</v>
      </c>
      <c r="C141" s="90" t="s">
        <v>1655</v>
      </c>
      <c r="D141" s="541">
        <v>17.12</v>
      </c>
      <c r="E141" s="91">
        <v>0.64</v>
      </c>
      <c r="F141" s="168">
        <v>0.65</v>
      </c>
      <c r="G141" s="2">
        <f t="shared" si="42"/>
        <v>10.956800000000001</v>
      </c>
      <c r="H141" s="92">
        <f t="shared" si="43"/>
        <v>28.076800000000002</v>
      </c>
      <c r="I141" s="9">
        <f t="shared" si="44"/>
        <v>5.896128</v>
      </c>
      <c r="J141" s="93">
        <f t="shared" si="45"/>
        <v>33.972928000000003</v>
      </c>
      <c r="L141" s="153">
        <f t="shared" si="47"/>
        <v>11.128000000000002</v>
      </c>
      <c r="M141" s="92">
        <f t="shared" si="48"/>
        <v>28.248000000000005</v>
      </c>
      <c r="N141" s="9">
        <f t="shared" si="46"/>
        <v>5.9320800000000009</v>
      </c>
      <c r="O141" s="93">
        <f t="shared" si="49"/>
        <v>34.180080000000004</v>
      </c>
    </row>
    <row r="142" spans="1:15" x14ac:dyDescent="0.3">
      <c r="A142" s="88" t="s">
        <v>2041</v>
      </c>
      <c r="B142" s="343" t="s">
        <v>2042</v>
      </c>
      <c r="C142" s="90" t="s">
        <v>1655</v>
      </c>
      <c r="D142" s="541">
        <v>10.34</v>
      </c>
      <c r="E142" s="91">
        <v>0.66</v>
      </c>
      <c r="F142" s="168">
        <v>0.67</v>
      </c>
      <c r="G142" s="2">
        <f t="shared" si="42"/>
        <v>6.8243999999999998</v>
      </c>
      <c r="H142" s="92">
        <f t="shared" si="43"/>
        <v>17.164400000000001</v>
      </c>
      <c r="I142" s="9">
        <f t="shared" si="44"/>
        <v>3.6045240000000001</v>
      </c>
      <c r="J142" s="93">
        <f t="shared" si="45"/>
        <v>20.768924000000002</v>
      </c>
      <c r="L142" s="153">
        <f t="shared" si="47"/>
        <v>6.9278000000000004</v>
      </c>
      <c r="M142" s="92">
        <f t="shared" si="48"/>
        <v>17.267800000000001</v>
      </c>
      <c r="N142" s="9">
        <f t="shared" si="46"/>
        <v>3.6262380000000003</v>
      </c>
      <c r="O142" s="93">
        <f t="shared" si="49"/>
        <v>20.894038000000002</v>
      </c>
    </row>
    <row r="143" spans="1:15" x14ac:dyDescent="0.3">
      <c r="A143" s="88" t="s">
        <v>2043</v>
      </c>
      <c r="B143" s="343" t="s">
        <v>2044</v>
      </c>
      <c r="C143" s="90" t="s">
        <v>1655</v>
      </c>
      <c r="D143" s="541">
        <v>5.5</v>
      </c>
      <c r="E143" s="91">
        <v>0.68</v>
      </c>
      <c r="F143" s="168">
        <v>0.69</v>
      </c>
      <c r="G143" s="2">
        <f t="shared" si="42"/>
        <v>3.74</v>
      </c>
      <c r="H143" s="92">
        <f t="shared" si="43"/>
        <v>9.24</v>
      </c>
      <c r="I143" s="9">
        <f t="shared" si="44"/>
        <v>1.9403999999999999</v>
      </c>
      <c r="J143" s="93">
        <f t="shared" si="45"/>
        <v>11.180400000000001</v>
      </c>
      <c r="L143" s="153">
        <f t="shared" si="47"/>
        <v>3.7949999999999999</v>
      </c>
      <c r="M143" s="92">
        <f t="shared" si="48"/>
        <v>9.2949999999999999</v>
      </c>
      <c r="N143" s="9">
        <f t="shared" si="46"/>
        <v>1.9519499999999999</v>
      </c>
      <c r="O143" s="93">
        <f t="shared" si="49"/>
        <v>11.24695</v>
      </c>
    </row>
    <row r="144" spans="1:15" x14ac:dyDescent="0.3">
      <c r="A144" s="88" t="s">
        <v>2045</v>
      </c>
      <c r="B144" s="343" t="s">
        <v>2046</v>
      </c>
      <c r="C144" s="90" t="s">
        <v>1655</v>
      </c>
      <c r="D144" s="541">
        <v>0.89</v>
      </c>
      <c r="E144" s="91">
        <v>0.7</v>
      </c>
      <c r="F144" s="168">
        <v>0.71</v>
      </c>
      <c r="G144" s="2">
        <f t="shared" si="42"/>
        <v>0.623</v>
      </c>
      <c r="H144" s="92">
        <f t="shared" si="43"/>
        <v>1.5129999999999999</v>
      </c>
      <c r="I144" s="9">
        <f t="shared" si="44"/>
        <v>0.31772999999999996</v>
      </c>
      <c r="J144" s="93">
        <f t="shared" si="45"/>
        <v>1.83073</v>
      </c>
      <c r="L144" s="153">
        <f t="shared" si="47"/>
        <v>0.63190000000000002</v>
      </c>
      <c r="M144" s="92">
        <f t="shared" si="48"/>
        <v>1.5219</v>
      </c>
      <c r="N144" s="9">
        <f t="shared" si="46"/>
        <v>0.31959900000000002</v>
      </c>
      <c r="O144" s="93">
        <f t="shared" si="49"/>
        <v>1.841499</v>
      </c>
    </row>
    <row r="145" spans="1:15" x14ac:dyDescent="0.3">
      <c r="A145" s="88" t="s">
        <v>2047</v>
      </c>
      <c r="B145" s="343" t="s">
        <v>2048</v>
      </c>
      <c r="C145" s="90" t="s">
        <v>1655</v>
      </c>
      <c r="D145" s="541">
        <v>11.07</v>
      </c>
      <c r="E145" s="91">
        <v>0.72</v>
      </c>
      <c r="F145" s="168">
        <v>0.73</v>
      </c>
      <c r="G145" s="2">
        <f t="shared" si="42"/>
        <v>7.9703999999999997</v>
      </c>
      <c r="H145" s="92">
        <f t="shared" si="43"/>
        <v>19.040399999999998</v>
      </c>
      <c r="I145" s="9">
        <f t="shared" si="44"/>
        <v>3.9984839999999995</v>
      </c>
      <c r="J145" s="93">
        <f t="shared" si="45"/>
        <v>23.038883999999996</v>
      </c>
      <c r="L145" s="153">
        <f t="shared" si="47"/>
        <v>8.0810999999999993</v>
      </c>
      <c r="M145" s="92">
        <f t="shared" si="48"/>
        <v>19.1511</v>
      </c>
      <c r="N145" s="9">
        <f t="shared" si="46"/>
        <v>4.0217309999999999</v>
      </c>
      <c r="O145" s="93">
        <f t="shared" si="49"/>
        <v>23.172830999999999</v>
      </c>
    </row>
    <row r="146" spans="1:15" x14ac:dyDescent="0.3">
      <c r="A146" s="88" t="s">
        <v>2049</v>
      </c>
      <c r="B146" s="343" t="s">
        <v>2050</v>
      </c>
      <c r="C146" s="90" t="s">
        <v>1655</v>
      </c>
      <c r="D146" s="541">
        <v>16.39</v>
      </c>
      <c r="E146" s="91">
        <v>0.74</v>
      </c>
      <c r="F146" s="168">
        <v>0.75</v>
      </c>
      <c r="G146" s="2">
        <f t="shared" si="42"/>
        <v>12.1286</v>
      </c>
      <c r="H146" s="92">
        <f t="shared" si="43"/>
        <v>28.518599999999999</v>
      </c>
      <c r="I146" s="9">
        <f t="shared" si="44"/>
        <v>5.9889060000000001</v>
      </c>
      <c r="J146" s="93">
        <f t="shared" si="45"/>
        <v>34.507505999999999</v>
      </c>
      <c r="L146" s="153">
        <f t="shared" si="47"/>
        <v>12.2925</v>
      </c>
      <c r="M146" s="92">
        <f t="shared" si="48"/>
        <v>28.682500000000001</v>
      </c>
      <c r="N146" s="9">
        <f t="shared" si="46"/>
        <v>6.0233249999999998</v>
      </c>
      <c r="O146" s="93">
        <f t="shared" si="49"/>
        <v>34.705825000000004</v>
      </c>
    </row>
    <row r="147" spans="1:15" x14ac:dyDescent="0.3">
      <c r="A147" s="88" t="s">
        <v>2051</v>
      </c>
      <c r="B147" s="343" t="s">
        <v>2052</v>
      </c>
      <c r="C147" s="90" t="s">
        <v>1655</v>
      </c>
      <c r="D147" s="541">
        <v>6.95</v>
      </c>
      <c r="E147" s="91">
        <v>0.76</v>
      </c>
      <c r="F147" s="168">
        <v>0.77</v>
      </c>
      <c r="G147" s="2">
        <f t="shared" si="42"/>
        <v>5.282</v>
      </c>
      <c r="H147" s="92">
        <f t="shared" si="43"/>
        <v>12.231999999999999</v>
      </c>
      <c r="I147" s="9">
        <f t="shared" si="44"/>
        <v>2.5687199999999999</v>
      </c>
      <c r="J147" s="93">
        <f t="shared" si="45"/>
        <v>14.800719999999998</v>
      </c>
      <c r="L147" s="153">
        <f t="shared" si="47"/>
        <v>5.3515000000000006</v>
      </c>
      <c r="M147" s="92">
        <f t="shared" si="48"/>
        <v>12.301500000000001</v>
      </c>
      <c r="N147" s="9">
        <f t="shared" si="46"/>
        <v>2.5833150000000002</v>
      </c>
      <c r="O147" s="93">
        <f t="shared" si="49"/>
        <v>14.884815000000001</v>
      </c>
    </row>
    <row r="148" spans="1:15" x14ac:dyDescent="0.3">
      <c r="A148" s="88" t="s">
        <v>2053</v>
      </c>
      <c r="B148" s="343" t="s">
        <v>2054</v>
      </c>
      <c r="C148" s="90" t="s">
        <v>1655</v>
      </c>
      <c r="D148" s="541">
        <v>17.84</v>
      </c>
      <c r="E148" s="91">
        <v>0.78</v>
      </c>
      <c r="F148" s="168">
        <v>0.79</v>
      </c>
      <c r="G148" s="2">
        <f t="shared" si="42"/>
        <v>13.9152</v>
      </c>
      <c r="H148" s="92">
        <f t="shared" si="43"/>
        <v>31.755200000000002</v>
      </c>
      <c r="I148" s="9">
        <f t="shared" si="44"/>
        <v>6.6685920000000003</v>
      </c>
      <c r="J148" s="93">
        <f t="shared" si="45"/>
        <v>38.423792000000006</v>
      </c>
      <c r="L148" s="153">
        <f t="shared" si="47"/>
        <v>14.0936</v>
      </c>
      <c r="M148" s="92">
        <f t="shared" si="48"/>
        <v>31.933599999999998</v>
      </c>
      <c r="N148" s="9">
        <f t="shared" si="46"/>
        <v>6.7060559999999994</v>
      </c>
      <c r="O148" s="93">
        <f t="shared" si="49"/>
        <v>38.639655999999995</v>
      </c>
    </row>
    <row r="149" spans="1:15" x14ac:dyDescent="0.3">
      <c r="A149" s="88" t="s">
        <v>2055</v>
      </c>
      <c r="B149" s="343" t="s">
        <v>2056</v>
      </c>
      <c r="C149" s="90" t="s">
        <v>1655</v>
      </c>
      <c r="D149" s="541">
        <v>8.89</v>
      </c>
      <c r="E149" s="91">
        <v>0.8</v>
      </c>
      <c r="F149" s="168">
        <v>0.81</v>
      </c>
      <c r="G149" s="2">
        <f t="shared" si="42"/>
        <v>7.112000000000001</v>
      </c>
      <c r="H149" s="92">
        <f t="shared" si="43"/>
        <v>16.002000000000002</v>
      </c>
      <c r="I149" s="9">
        <f t="shared" si="44"/>
        <v>3.3604200000000004</v>
      </c>
      <c r="J149" s="93">
        <f t="shared" si="45"/>
        <v>19.362420000000004</v>
      </c>
      <c r="L149" s="153">
        <f t="shared" si="47"/>
        <v>7.2009000000000007</v>
      </c>
      <c r="M149" s="92">
        <f t="shared" si="48"/>
        <v>16.090900000000001</v>
      </c>
      <c r="N149" s="9">
        <f t="shared" si="46"/>
        <v>3.379089</v>
      </c>
      <c r="O149" s="93">
        <f t="shared" si="49"/>
        <v>19.469989000000002</v>
      </c>
    </row>
    <row r="150" spans="1:15" x14ac:dyDescent="0.3">
      <c r="A150" s="88" t="s">
        <v>2057</v>
      </c>
      <c r="B150" s="343" t="s">
        <v>2058</v>
      </c>
      <c r="C150" s="90" t="s">
        <v>1655</v>
      </c>
      <c r="D150" s="541">
        <v>14.21</v>
      </c>
      <c r="E150" s="91">
        <v>0.82</v>
      </c>
      <c r="F150" s="168">
        <v>0.83</v>
      </c>
      <c r="G150" s="2">
        <f t="shared" si="42"/>
        <v>11.652200000000001</v>
      </c>
      <c r="H150" s="92">
        <f t="shared" si="43"/>
        <v>25.862200000000001</v>
      </c>
      <c r="I150" s="9">
        <f t="shared" si="44"/>
        <v>5.4310619999999998</v>
      </c>
      <c r="J150" s="93">
        <f t="shared" si="45"/>
        <v>31.293262000000002</v>
      </c>
      <c r="L150" s="153">
        <f t="shared" si="47"/>
        <v>11.7943</v>
      </c>
      <c r="M150" s="92">
        <f t="shared" si="48"/>
        <v>26.004300000000001</v>
      </c>
      <c r="N150" s="9">
        <f t="shared" si="46"/>
        <v>5.4609030000000001</v>
      </c>
      <c r="O150" s="93">
        <f t="shared" si="49"/>
        <v>31.465203000000002</v>
      </c>
    </row>
    <row r="151" spans="1:15" x14ac:dyDescent="0.3">
      <c r="A151" s="88" t="s">
        <v>2059</v>
      </c>
      <c r="B151" s="343" t="s">
        <v>2060</v>
      </c>
      <c r="C151" s="90" t="s">
        <v>1655</v>
      </c>
      <c r="D151" s="541">
        <v>3.81</v>
      </c>
      <c r="E151" s="91">
        <v>0.84</v>
      </c>
      <c r="F151" s="168">
        <v>0.85</v>
      </c>
      <c r="G151" s="2">
        <f t="shared" si="42"/>
        <v>3.2004000000000001</v>
      </c>
      <c r="H151" s="92">
        <f t="shared" si="43"/>
        <v>7.0104000000000006</v>
      </c>
      <c r="I151" s="9">
        <f t="shared" si="44"/>
        <v>1.4721840000000002</v>
      </c>
      <c r="J151" s="93">
        <f t="shared" si="45"/>
        <v>8.482584000000001</v>
      </c>
      <c r="L151" s="153">
        <f t="shared" si="47"/>
        <v>3.2385000000000002</v>
      </c>
      <c r="M151" s="92">
        <f t="shared" si="48"/>
        <v>7.0485000000000007</v>
      </c>
      <c r="N151" s="9">
        <f t="shared" si="46"/>
        <v>1.4801850000000001</v>
      </c>
      <c r="O151" s="93">
        <f t="shared" si="49"/>
        <v>8.5286850000000012</v>
      </c>
    </row>
    <row r="152" spans="1:15" x14ac:dyDescent="0.3">
      <c r="A152" s="88" t="s">
        <v>2061</v>
      </c>
      <c r="B152" s="343" t="s">
        <v>2062</v>
      </c>
      <c r="C152" s="90" t="s">
        <v>1655</v>
      </c>
      <c r="D152" s="541">
        <v>13.25</v>
      </c>
      <c r="E152" s="91">
        <v>0.86</v>
      </c>
      <c r="F152" s="168">
        <v>0.87</v>
      </c>
      <c r="G152" s="2">
        <f t="shared" si="42"/>
        <v>11.395</v>
      </c>
      <c r="H152" s="92">
        <f t="shared" si="43"/>
        <v>24.645</v>
      </c>
      <c r="I152" s="9">
        <f t="shared" si="44"/>
        <v>5.1754499999999997</v>
      </c>
      <c r="J152" s="93">
        <f t="shared" si="45"/>
        <v>29.820450000000001</v>
      </c>
      <c r="L152" s="153">
        <f t="shared" si="47"/>
        <v>11.5275</v>
      </c>
      <c r="M152" s="92">
        <f t="shared" si="48"/>
        <v>24.7775</v>
      </c>
      <c r="N152" s="9">
        <f t="shared" si="46"/>
        <v>5.2032749999999997</v>
      </c>
      <c r="O152" s="93">
        <f t="shared" si="49"/>
        <v>29.980775000000001</v>
      </c>
    </row>
    <row r="153" spans="1:15" x14ac:dyDescent="0.3">
      <c r="A153" s="88" t="s">
        <v>2063</v>
      </c>
      <c r="B153" s="343" t="s">
        <v>2064</v>
      </c>
      <c r="C153" s="90" t="s">
        <v>1655</v>
      </c>
      <c r="D153" s="541">
        <v>15.18</v>
      </c>
      <c r="E153" s="91">
        <v>0.88</v>
      </c>
      <c r="F153" s="168">
        <v>0.89</v>
      </c>
      <c r="G153" s="2">
        <f t="shared" si="42"/>
        <v>13.3584</v>
      </c>
      <c r="H153" s="92">
        <f t="shared" si="43"/>
        <v>28.538399999999999</v>
      </c>
      <c r="I153" s="9">
        <f t="shared" si="44"/>
        <v>5.9930639999999995</v>
      </c>
      <c r="J153" s="93">
        <f t="shared" si="45"/>
        <v>34.531464</v>
      </c>
      <c r="L153" s="153">
        <f t="shared" si="47"/>
        <v>13.510199999999999</v>
      </c>
      <c r="M153" s="92">
        <f t="shared" si="48"/>
        <v>28.690199999999997</v>
      </c>
      <c r="N153" s="9">
        <f t="shared" si="46"/>
        <v>6.0249419999999994</v>
      </c>
      <c r="O153" s="93">
        <f t="shared" si="49"/>
        <v>34.715142</v>
      </c>
    </row>
    <row r="154" spans="1:15" x14ac:dyDescent="0.3">
      <c r="A154" s="88" t="s">
        <v>2065</v>
      </c>
      <c r="B154" s="343" t="s">
        <v>2066</v>
      </c>
      <c r="C154" s="90" t="s">
        <v>1655</v>
      </c>
      <c r="D154" s="541">
        <v>9.1300000000000008</v>
      </c>
      <c r="E154" s="91">
        <v>0.9</v>
      </c>
      <c r="F154" s="168">
        <v>0.91</v>
      </c>
      <c r="G154" s="2">
        <f t="shared" si="42"/>
        <v>8.2170000000000005</v>
      </c>
      <c r="H154" s="92">
        <f t="shared" si="43"/>
        <v>17.347000000000001</v>
      </c>
      <c r="I154" s="9">
        <f t="shared" si="44"/>
        <v>3.6428700000000003</v>
      </c>
      <c r="J154" s="93">
        <f t="shared" si="45"/>
        <v>20.989870000000003</v>
      </c>
      <c r="L154" s="153">
        <f t="shared" si="47"/>
        <v>8.3083000000000009</v>
      </c>
      <c r="M154" s="92">
        <f t="shared" si="48"/>
        <v>17.438300000000002</v>
      </c>
      <c r="N154" s="9">
        <f t="shared" si="46"/>
        <v>3.6620430000000002</v>
      </c>
      <c r="O154" s="93">
        <f t="shared" si="49"/>
        <v>21.100343000000002</v>
      </c>
    </row>
    <row r="155" spans="1:15" x14ac:dyDescent="0.3">
      <c r="A155" s="88" t="s">
        <v>2067</v>
      </c>
      <c r="B155" s="343" t="s">
        <v>2068</v>
      </c>
      <c r="C155" s="90" t="s">
        <v>1655</v>
      </c>
      <c r="D155" s="541">
        <v>18.09</v>
      </c>
      <c r="E155" s="91">
        <v>0.92</v>
      </c>
      <c r="F155" s="168">
        <v>0.93</v>
      </c>
      <c r="G155" s="2">
        <f t="shared" si="42"/>
        <v>16.642800000000001</v>
      </c>
      <c r="H155" s="92">
        <f t="shared" si="43"/>
        <v>34.732799999999997</v>
      </c>
      <c r="I155" s="9">
        <f t="shared" si="44"/>
        <v>7.293887999999999</v>
      </c>
      <c r="J155" s="93">
        <f t="shared" si="45"/>
        <v>42.026687999999993</v>
      </c>
      <c r="L155" s="153">
        <f t="shared" si="47"/>
        <v>16.823700000000002</v>
      </c>
      <c r="M155" s="92">
        <f t="shared" si="48"/>
        <v>34.913700000000006</v>
      </c>
      <c r="N155" s="9">
        <f t="shared" si="46"/>
        <v>7.3318770000000013</v>
      </c>
      <c r="O155" s="93">
        <f t="shared" si="49"/>
        <v>42.245577000000004</v>
      </c>
    </row>
    <row r="156" spans="1:15" x14ac:dyDescent="0.3">
      <c r="A156" s="88" t="s">
        <v>2069</v>
      </c>
      <c r="B156" s="343" t="s">
        <v>2070</v>
      </c>
      <c r="C156" s="90" t="s">
        <v>1655</v>
      </c>
      <c r="D156" s="541">
        <v>7.92</v>
      </c>
      <c r="E156" s="91">
        <v>0.94</v>
      </c>
      <c r="F156" s="168">
        <v>0.95</v>
      </c>
      <c r="G156" s="2">
        <f t="shared" si="42"/>
        <v>7.4447999999999999</v>
      </c>
      <c r="H156" s="92">
        <f t="shared" si="43"/>
        <v>15.364799999999999</v>
      </c>
      <c r="I156" s="9">
        <f t="shared" si="44"/>
        <v>3.2266079999999997</v>
      </c>
      <c r="J156" s="93">
        <f t="shared" si="45"/>
        <v>18.591407999999998</v>
      </c>
      <c r="L156" s="153">
        <f t="shared" si="47"/>
        <v>7.524</v>
      </c>
      <c r="M156" s="92">
        <f t="shared" si="48"/>
        <v>15.443999999999999</v>
      </c>
      <c r="N156" s="9">
        <f t="shared" si="46"/>
        <v>3.2432399999999997</v>
      </c>
      <c r="O156" s="93">
        <f t="shared" si="49"/>
        <v>18.687239999999999</v>
      </c>
    </row>
    <row r="157" spans="1:15" x14ac:dyDescent="0.3">
      <c r="A157" s="88" t="s">
        <v>2071</v>
      </c>
      <c r="B157" s="343" t="s">
        <v>2072</v>
      </c>
      <c r="C157" s="90" t="s">
        <v>1655</v>
      </c>
      <c r="D157" s="541">
        <v>16.149999999999999</v>
      </c>
      <c r="E157" s="91">
        <v>0.96</v>
      </c>
      <c r="F157" s="168">
        <v>0.97</v>
      </c>
      <c r="G157" s="2">
        <f t="shared" si="42"/>
        <v>15.503999999999998</v>
      </c>
      <c r="H157" s="92">
        <f t="shared" si="43"/>
        <v>31.653999999999996</v>
      </c>
      <c r="I157" s="9">
        <f t="shared" si="44"/>
        <v>6.6473399999999989</v>
      </c>
      <c r="J157" s="93">
        <f t="shared" si="45"/>
        <v>38.301339999999996</v>
      </c>
      <c r="L157" s="153">
        <f t="shared" si="47"/>
        <v>15.665499999999998</v>
      </c>
      <c r="M157" s="92">
        <f t="shared" si="48"/>
        <v>31.815499999999997</v>
      </c>
      <c r="N157" s="9">
        <f t="shared" si="46"/>
        <v>6.6812549999999993</v>
      </c>
      <c r="O157" s="93">
        <f t="shared" si="49"/>
        <v>38.496754999999993</v>
      </c>
    </row>
    <row r="158" spans="1:15" x14ac:dyDescent="0.3">
      <c r="A158" s="88" t="s">
        <v>2073</v>
      </c>
      <c r="B158" s="343" t="s">
        <v>2074</v>
      </c>
      <c r="C158" s="90" t="s">
        <v>1655</v>
      </c>
      <c r="D158" s="541">
        <v>5.73</v>
      </c>
      <c r="E158" s="91">
        <v>0.98</v>
      </c>
      <c r="F158" s="168">
        <v>0.99</v>
      </c>
      <c r="G158" s="2">
        <f t="shared" si="42"/>
        <v>5.6154000000000002</v>
      </c>
      <c r="H158" s="92">
        <f t="shared" si="43"/>
        <v>11.345400000000001</v>
      </c>
      <c r="I158" s="9">
        <f t="shared" si="44"/>
        <v>2.3825340000000002</v>
      </c>
      <c r="J158" s="93">
        <f t="shared" si="45"/>
        <v>13.727934000000001</v>
      </c>
      <c r="L158" s="153">
        <f t="shared" si="47"/>
        <v>5.6727000000000007</v>
      </c>
      <c r="M158" s="92">
        <f t="shared" si="48"/>
        <v>11.402700000000001</v>
      </c>
      <c r="N158" s="9">
        <f t="shared" si="46"/>
        <v>2.3945670000000003</v>
      </c>
      <c r="O158" s="93">
        <f t="shared" si="49"/>
        <v>13.797267000000002</v>
      </c>
    </row>
    <row r="159" spans="1:15" x14ac:dyDescent="0.3">
      <c r="A159" s="88" t="s">
        <v>2075</v>
      </c>
      <c r="B159" s="343" t="s">
        <v>2076</v>
      </c>
      <c r="C159" s="90" t="s">
        <v>1655</v>
      </c>
      <c r="D159" s="541">
        <v>12.76</v>
      </c>
      <c r="E159" s="91">
        <v>1</v>
      </c>
      <c r="F159" s="168">
        <v>1.01</v>
      </c>
      <c r="G159" s="2">
        <f t="shared" si="42"/>
        <v>12.76</v>
      </c>
      <c r="H159" s="92">
        <f t="shared" si="43"/>
        <v>25.52</v>
      </c>
      <c r="I159" s="9">
        <f t="shared" si="44"/>
        <v>5.3591999999999995</v>
      </c>
      <c r="J159" s="93">
        <f t="shared" si="45"/>
        <v>30.879199999999997</v>
      </c>
      <c r="L159" s="153">
        <f t="shared" si="47"/>
        <v>12.887599999999999</v>
      </c>
      <c r="M159" s="92">
        <f t="shared" si="48"/>
        <v>25.647599999999997</v>
      </c>
      <c r="N159" s="9">
        <f t="shared" si="46"/>
        <v>5.3859959999999996</v>
      </c>
      <c r="O159" s="93">
        <f t="shared" si="49"/>
        <v>31.033595999999996</v>
      </c>
    </row>
    <row r="160" spans="1:15" x14ac:dyDescent="0.3">
      <c r="A160" s="88" t="s">
        <v>2077</v>
      </c>
      <c r="B160" s="343" t="s">
        <v>2078</v>
      </c>
      <c r="C160" s="90" t="s">
        <v>1655</v>
      </c>
      <c r="D160" s="541">
        <v>6.71</v>
      </c>
      <c r="E160" s="91">
        <v>1.02</v>
      </c>
      <c r="F160" s="168">
        <v>1.03</v>
      </c>
      <c r="G160" s="2">
        <f t="shared" si="42"/>
        <v>6.8441999999999998</v>
      </c>
      <c r="H160" s="92">
        <f t="shared" si="43"/>
        <v>13.5542</v>
      </c>
      <c r="I160" s="9">
        <f t="shared" si="44"/>
        <v>2.8463819999999997</v>
      </c>
      <c r="J160" s="93">
        <f t="shared" si="45"/>
        <v>16.400582</v>
      </c>
      <c r="L160" s="153">
        <f t="shared" si="47"/>
        <v>6.9112999999999998</v>
      </c>
      <c r="M160" s="92">
        <f t="shared" si="48"/>
        <v>13.6213</v>
      </c>
      <c r="N160" s="9">
        <f t="shared" si="46"/>
        <v>2.8604729999999998</v>
      </c>
      <c r="O160" s="93">
        <f t="shared" si="49"/>
        <v>16.481773</v>
      </c>
    </row>
    <row r="161" spans="1:15" x14ac:dyDescent="0.3">
      <c r="A161" s="88" t="s">
        <v>2079</v>
      </c>
      <c r="B161" s="343" t="s">
        <v>2080</v>
      </c>
      <c r="C161" s="90" t="s">
        <v>1655</v>
      </c>
      <c r="D161" s="541">
        <v>8.65</v>
      </c>
      <c r="E161" s="91">
        <v>1.04</v>
      </c>
      <c r="F161" s="168">
        <v>1.05</v>
      </c>
      <c r="G161" s="2">
        <f t="shared" si="42"/>
        <v>8.9960000000000004</v>
      </c>
      <c r="H161" s="92">
        <f t="shared" si="43"/>
        <v>17.646000000000001</v>
      </c>
      <c r="I161" s="9">
        <f t="shared" si="44"/>
        <v>3.70566</v>
      </c>
      <c r="J161" s="93">
        <f t="shared" si="45"/>
        <v>21.351660000000003</v>
      </c>
      <c r="L161" s="153">
        <f t="shared" si="47"/>
        <v>9.0825000000000014</v>
      </c>
      <c r="M161" s="92">
        <f t="shared" si="48"/>
        <v>17.732500000000002</v>
      </c>
      <c r="N161" s="9">
        <f t="shared" si="46"/>
        <v>3.7238250000000002</v>
      </c>
      <c r="O161" s="93">
        <f t="shared" si="49"/>
        <v>21.456325000000003</v>
      </c>
    </row>
    <row r="162" spans="1:15" x14ac:dyDescent="0.3">
      <c r="A162" s="88" t="s">
        <v>2081</v>
      </c>
      <c r="B162" s="343" t="s">
        <v>2082</v>
      </c>
      <c r="C162" s="90" t="s">
        <v>1655</v>
      </c>
      <c r="D162" s="541">
        <v>13</v>
      </c>
      <c r="E162" s="91">
        <v>1.06</v>
      </c>
      <c r="F162" s="168">
        <v>1.07</v>
      </c>
      <c r="G162" s="2">
        <f t="shared" si="42"/>
        <v>13.780000000000001</v>
      </c>
      <c r="H162" s="92">
        <f t="shared" si="43"/>
        <v>26.78</v>
      </c>
      <c r="I162" s="9">
        <f t="shared" si="44"/>
        <v>5.6238000000000001</v>
      </c>
      <c r="J162" s="93">
        <f t="shared" si="45"/>
        <v>32.403800000000004</v>
      </c>
      <c r="L162" s="153">
        <f t="shared" si="47"/>
        <v>13.91</v>
      </c>
      <c r="M162" s="92">
        <f t="shared" si="48"/>
        <v>26.91</v>
      </c>
      <c r="N162" s="9">
        <f t="shared" si="46"/>
        <v>5.6510999999999996</v>
      </c>
      <c r="O162" s="93">
        <f t="shared" si="49"/>
        <v>32.561099999999996</v>
      </c>
    </row>
    <row r="163" spans="1:15" x14ac:dyDescent="0.3">
      <c r="A163" s="88" t="s">
        <v>2083</v>
      </c>
      <c r="B163" s="343" t="s">
        <v>2084</v>
      </c>
      <c r="C163" s="90" t="s">
        <v>1655</v>
      </c>
      <c r="D163" s="541">
        <v>10.58</v>
      </c>
      <c r="E163" s="91">
        <v>1.08</v>
      </c>
      <c r="F163" s="168">
        <v>1.0900000000000001</v>
      </c>
      <c r="G163" s="2">
        <f t="shared" si="42"/>
        <v>11.426400000000001</v>
      </c>
      <c r="H163" s="92">
        <f t="shared" si="43"/>
        <v>22.006399999999999</v>
      </c>
      <c r="I163" s="9">
        <f t="shared" si="44"/>
        <v>4.6213439999999997</v>
      </c>
      <c r="J163" s="93">
        <f t="shared" si="45"/>
        <v>26.627744</v>
      </c>
      <c r="L163" s="153">
        <f t="shared" si="47"/>
        <v>11.532200000000001</v>
      </c>
      <c r="M163" s="92">
        <f t="shared" si="48"/>
        <v>22.112200000000001</v>
      </c>
      <c r="N163" s="9">
        <f t="shared" si="46"/>
        <v>4.6435620000000002</v>
      </c>
      <c r="O163" s="93">
        <f t="shared" si="49"/>
        <v>26.755762000000001</v>
      </c>
    </row>
    <row r="164" spans="1:15" x14ac:dyDescent="0.3">
      <c r="A164" s="88" t="s">
        <v>2085</v>
      </c>
      <c r="B164" s="343" t="s">
        <v>2086</v>
      </c>
      <c r="C164" s="90" t="s">
        <v>1655</v>
      </c>
      <c r="D164" s="541">
        <v>4.29</v>
      </c>
      <c r="E164" s="91">
        <v>1.1000000000000001</v>
      </c>
      <c r="F164" s="168">
        <v>1.1100000000000001</v>
      </c>
      <c r="G164" s="2">
        <f t="shared" si="42"/>
        <v>4.7190000000000003</v>
      </c>
      <c r="H164" s="92">
        <f t="shared" si="43"/>
        <v>9.0090000000000003</v>
      </c>
      <c r="I164" s="9">
        <f t="shared" si="44"/>
        <v>1.8918900000000001</v>
      </c>
      <c r="J164" s="93">
        <f t="shared" si="45"/>
        <v>10.90089</v>
      </c>
      <c r="L164" s="153">
        <f t="shared" si="47"/>
        <v>4.7619000000000007</v>
      </c>
      <c r="M164" s="92">
        <f t="shared" si="48"/>
        <v>9.0518999999999998</v>
      </c>
      <c r="N164" s="9">
        <f t="shared" si="46"/>
        <v>1.9008989999999999</v>
      </c>
      <c r="O164" s="93">
        <f t="shared" si="49"/>
        <v>10.952798999999999</v>
      </c>
    </row>
    <row r="165" spans="1:15" x14ac:dyDescent="0.3">
      <c r="A165" s="88" t="s">
        <v>2087</v>
      </c>
      <c r="B165" s="343" t="s">
        <v>2088</v>
      </c>
      <c r="C165" s="90" t="s">
        <v>1655</v>
      </c>
      <c r="D165" s="541">
        <v>11.79</v>
      </c>
      <c r="E165" s="91">
        <v>1.1200000000000001</v>
      </c>
      <c r="F165" s="168">
        <v>1.1299999999999999</v>
      </c>
      <c r="G165" s="2">
        <f t="shared" si="42"/>
        <v>13.204800000000001</v>
      </c>
      <c r="H165" s="92">
        <f t="shared" si="43"/>
        <v>24.994799999999998</v>
      </c>
      <c r="I165" s="9">
        <f t="shared" si="44"/>
        <v>5.2489079999999992</v>
      </c>
      <c r="J165" s="93">
        <f t="shared" si="45"/>
        <v>30.243707999999998</v>
      </c>
      <c r="L165" s="153">
        <f t="shared" si="47"/>
        <v>13.322699999999998</v>
      </c>
      <c r="M165" s="92">
        <f t="shared" si="48"/>
        <v>25.112699999999997</v>
      </c>
      <c r="N165" s="9">
        <f t="shared" si="46"/>
        <v>5.2736669999999988</v>
      </c>
      <c r="O165" s="93">
        <f t="shared" si="49"/>
        <v>30.386366999999996</v>
      </c>
    </row>
    <row r="166" spans="1:15" x14ac:dyDescent="0.3">
      <c r="A166" s="88" t="s">
        <v>2089</v>
      </c>
      <c r="B166" s="343" t="s">
        <v>2090</v>
      </c>
      <c r="C166" s="90" t="s">
        <v>1655</v>
      </c>
      <c r="D166" s="541">
        <v>2.84</v>
      </c>
      <c r="E166" s="91">
        <v>1.1399999999999999</v>
      </c>
      <c r="F166" s="168">
        <v>1.1499999999999999</v>
      </c>
      <c r="G166" s="2">
        <f t="shared" si="42"/>
        <v>3.2375999999999996</v>
      </c>
      <c r="H166" s="92">
        <f t="shared" si="43"/>
        <v>6.0775999999999994</v>
      </c>
      <c r="I166" s="9">
        <f t="shared" si="44"/>
        <v>1.2762959999999999</v>
      </c>
      <c r="J166" s="93">
        <f t="shared" si="45"/>
        <v>7.3538959999999989</v>
      </c>
      <c r="L166" s="153">
        <f t="shared" si="47"/>
        <v>3.2659999999999996</v>
      </c>
      <c r="M166" s="92">
        <f t="shared" si="48"/>
        <v>6.1059999999999999</v>
      </c>
      <c r="N166" s="9">
        <f t="shared" si="46"/>
        <v>1.28226</v>
      </c>
      <c r="O166" s="93">
        <f t="shared" si="49"/>
        <v>7.3882599999999998</v>
      </c>
    </row>
    <row r="167" spans="1:15" x14ac:dyDescent="0.3">
      <c r="A167" s="88" t="s">
        <v>2091</v>
      </c>
      <c r="B167" s="343" t="s">
        <v>2092</v>
      </c>
      <c r="C167" s="90" t="s">
        <v>1655</v>
      </c>
      <c r="D167" s="541">
        <v>15.67</v>
      </c>
      <c r="E167" s="91">
        <v>1.1599999999999999</v>
      </c>
      <c r="F167" s="168">
        <v>1.17</v>
      </c>
      <c r="G167" s="2">
        <f t="shared" si="42"/>
        <v>18.177199999999999</v>
      </c>
      <c r="H167" s="92">
        <f t="shared" si="43"/>
        <v>33.847200000000001</v>
      </c>
      <c r="I167" s="9">
        <f t="shared" si="44"/>
        <v>7.1079119999999998</v>
      </c>
      <c r="J167" s="93">
        <f t="shared" si="45"/>
        <v>40.955112</v>
      </c>
      <c r="L167" s="153">
        <f t="shared" si="47"/>
        <v>18.3339</v>
      </c>
      <c r="M167" s="92">
        <f t="shared" si="48"/>
        <v>34.003900000000002</v>
      </c>
      <c r="N167" s="9">
        <f t="shared" si="46"/>
        <v>7.1408190000000005</v>
      </c>
      <c r="O167" s="93">
        <f t="shared" si="49"/>
        <v>41.144719000000002</v>
      </c>
    </row>
    <row r="168" spans="1:15" x14ac:dyDescent="0.3">
      <c r="A168" s="88" t="s">
        <v>2093</v>
      </c>
      <c r="B168" s="343" t="s">
        <v>2094</v>
      </c>
      <c r="C168" s="90" t="s">
        <v>1655</v>
      </c>
      <c r="D168" s="541">
        <v>9.86</v>
      </c>
      <c r="E168" s="91">
        <v>1.18</v>
      </c>
      <c r="F168" s="168">
        <v>1.19</v>
      </c>
      <c r="G168" s="2">
        <f t="shared" si="42"/>
        <v>11.634799999999998</v>
      </c>
      <c r="H168" s="92">
        <f t="shared" si="43"/>
        <v>21.494799999999998</v>
      </c>
      <c r="I168" s="9">
        <f t="shared" si="44"/>
        <v>4.5139079999999998</v>
      </c>
      <c r="J168" s="93">
        <f t="shared" si="45"/>
        <v>26.008707999999999</v>
      </c>
      <c r="L168" s="153">
        <f t="shared" si="47"/>
        <v>11.7334</v>
      </c>
      <c r="M168" s="92">
        <f t="shared" si="48"/>
        <v>21.593399999999999</v>
      </c>
      <c r="N168" s="9">
        <f t="shared" si="46"/>
        <v>4.5346139999999995</v>
      </c>
      <c r="O168" s="93">
        <f t="shared" si="49"/>
        <v>26.128014</v>
      </c>
    </row>
    <row r="169" spans="1:15" x14ac:dyDescent="0.3">
      <c r="A169" s="88" t="s">
        <v>2095</v>
      </c>
      <c r="B169" s="343" t="s">
        <v>2096</v>
      </c>
      <c r="C169" s="90" t="s">
        <v>1655</v>
      </c>
      <c r="D169" s="541">
        <v>4.5199999999999996</v>
      </c>
      <c r="E169" s="91">
        <v>1.2</v>
      </c>
      <c r="F169" s="168">
        <v>1.21</v>
      </c>
      <c r="G169" s="2">
        <f t="shared" si="42"/>
        <v>5.4239999999999995</v>
      </c>
      <c r="H169" s="92">
        <f t="shared" si="43"/>
        <v>9.9439999999999991</v>
      </c>
      <c r="I169" s="9">
        <f t="shared" si="44"/>
        <v>2.0882399999999999</v>
      </c>
      <c r="J169" s="93">
        <f t="shared" si="45"/>
        <v>12.032239999999998</v>
      </c>
      <c r="L169" s="153">
        <f t="shared" si="47"/>
        <v>5.469199999999999</v>
      </c>
      <c r="M169" s="92">
        <f t="shared" si="48"/>
        <v>9.9891999999999985</v>
      </c>
      <c r="N169" s="9">
        <f t="shared" si="46"/>
        <v>2.0977319999999997</v>
      </c>
      <c r="O169" s="93">
        <f t="shared" si="49"/>
        <v>12.086931999999997</v>
      </c>
    </row>
    <row r="170" spans="1:15" x14ac:dyDescent="0.3">
      <c r="A170" s="88" t="s">
        <v>2097</v>
      </c>
      <c r="B170" s="343" t="s">
        <v>2098</v>
      </c>
      <c r="C170" s="90" t="s">
        <v>1655</v>
      </c>
      <c r="D170" s="541">
        <v>14.94</v>
      </c>
      <c r="E170" s="91">
        <v>1.22</v>
      </c>
      <c r="F170" s="168">
        <v>1.23</v>
      </c>
      <c r="G170" s="2">
        <f t="shared" si="42"/>
        <v>18.226799999999997</v>
      </c>
      <c r="H170" s="92">
        <f t="shared" si="43"/>
        <v>33.166799999999995</v>
      </c>
      <c r="I170" s="9">
        <f t="shared" si="44"/>
        <v>6.9650279999999984</v>
      </c>
      <c r="J170" s="93">
        <f t="shared" si="45"/>
        <v>40.131827999999992</v>
      </c>
      <c r="L170" s="153">
        <f t="shared" si="47"/>
        <v>18.376200000000001</v>
      </c>
      <c r="M170" s="92">
        <f t="shared" si="48"/>
        <v>33.316200000000002</v>
      </c>
      <c r="N170" s="9">
        <f t="shared" si="46"/>
        <v>6.9964019999999998</v>
      </c>
      <c r="O170" s="93">
        <f t="shared" si="49"/>
        <v>40.312601999999998</v>
      </c>
    </row>
    <row r="171" spans="1:15" x14ac:dyDescent="0.3">
      <c r="A171" s="88" t="s">
        <v>2099</v>
      </c>
      <c r="B171" s="343" t="s">
        <v>2100</v>
      </c>
      <c r="C171" s="90" t="s">
        <v>1655</v>
      </c>
      <c r="D171" s="541">
        <v>17.600000000000001</v>
      </c>
      <c r="E171" s="91">
        <v>1.24</v>
      </c>
      <c r="F171" s="168">
        <v>1.25</v>
      </c>
      <c r="G171" s="2">
        <f t="shared" si="42"/>
        <v>21.824000000000002</v>
      </c>
      <c r="H171" s="92">
        <f t="shared" si="43"/>
        <v>39.424000000000007</v>
      </c>
      <c r="I171" s="9">
        <f t="shared" si="44"/>
        <v>8.279040000000002</v>
      </c>
      <c r="J171" s="93">
        <f t="shared" si="45"/>
        <v>47.703040000000009</v>
      </c>
      <c r="L171" s="153">
        <f t="shared" si="47"/>
        <v>22</v>
      </c>
      <c r="M171" s="92">
        <f t="shared" si="48"/>
        <v>39.6</v>
      </c>
      <c r="N171" s="9">
        <f t="shared" si="46"/>
        <v>8.3160000000000007</v>
      </c>
      <c r="O171" s="93">
        <f t="shared" si="49"/>
        <v>47.916000000000004</v>
      </c>
    </row>
    <row r="172" spans="1:15" x14ac:dyDescent="0.3">
      <c r="A172" s="88" t="s">
        <v>2101</v>
      </c>
      <c r="B172" s="343" t="s">
        <v>2102</v>
      </c>
      <c r="C172" s="90" t="s">
        <v>1655</v>
      </c>
      <c r="D172" s="541">
        <v>7.2</v>
      </c>
      <c r="E172" s="91">
        <v>1.26</v>
      </c>
      <c r="F172" s="168">
        <v>1.27</v>
      </c>
      <c r="G172" s="2">
        <f t="shared" si="42"/>
        <v>9.072000000000001</v>
      </c>
      <c r="H172" s="92">
        <f t="shared" si="43"/>
        <v>16.272000000000002</v>
      </c>
      <c r="I172" s="9">
        <f t="shared" si="44"/>
        <v>3.4171200000000002</v>
      </c>
      <c r="J172" s="93">
        <f t="shared" si="45"/>
        <v>19.689120000000003</v>
      </c>
      <c r="L172" s="153">
        <f t="shared" si="47"/>
        <v>9.1440000000000001</v>
      </c>
      <c r="M172" s="92">
        <f t="shared" si="48"/>
        <v>16.344000000000001</v>
      </c>
      <c r="N172" s="9">
        <f t="shared" si="46"/>
        <v>3.4322400000000002</v>
      </c>
      <c r="O172" s="93">
        <f t="shared" si="49"/>
        <v>19.776240000000001</v>
      </c>
    </row>
    <row r="173" spans="1:15" x14ac:dyDescent="0.3">
      <c r="A173" s="88" t="s">
        <v>2103</v>
      </c>
      <c r="B173" s="343" t="s">
        <v>2104</v>
      </c>
      <c r="C173" s="90" t="s">
        <v>1655</v>
      </c>
      <c r="D173" s="541">
        <v>16.88</v>
      </c>
      <c r="E173" s="91">
        <v>1.28</v>
      </c>
      <c r="F173" s="168">
        <v>1.29</v>
      </c>
      <c r="G173" s="2">
        <f t="shared" si="42"/>
        <v>21.606400000000001</v>
      </c>
      <c r="H173" s="92">
        <f t="shared" si="43"/>
        <v>38.486400000000003</v>
      </c>
      <c r="I173" s="9">
        <f t="shared" si="44"/>
        <v>8.0821439999999996</v>
      </c>
      <c r="J173" s="93">
        <f t="shared" si="45"/>
        <v>46.568544000000003</v>
      </c>
      <c r="L173" s="153">
        <f t="shared" si="47"/>
        <v>21.775199999999998</v>
      </c>
      <c r="M173" s="92">
        <f t="shared" si="48"/>
        <v>38.655199999999994</v>
      </c>
      <c r="N173" s="9">
        <f t="shared" si="46"/>
        <v>8.1175919999999984</v>
      </c>
      <c r="O173" s="93">
        <f t="shared" si="49"/>
        <v>46.772791999999995</v>
      </c>
    </row>
    <row r="174" spans="1:15" x14ac:dyDescent="0.3">
      <c r="A174" s="88" t="s">
        <v>2105</v>
      </c>
      <c r="B174" s="343" t="s">
        <v>2106</v>
      </c>
      <c r="C174" s="90" t="s">
        <v>1655</v>
      </c>
      <c r="D174" s="541">
        <v>12.04</v>
      </c>
      <c r="E174" s="91">
        <v>1.3</v>
      </c>
      <c r="F174" s="168">
        <v>1.31</v>
      </c>
      <c r="G174" s="2">
        <f t="shared" ref="G174:G184" si="50">D174*E174</f>
        <v>15.651999999999999</v>
      </c>
      <c r="H174" s="92">
        <f t="shared" ref="H174:H184" si="51">G174+D174</f>
        <v>27.692</v>
      </c>
      <c r="I174" s="9">
        <f t="shared" ref="I174:I184" si="52">H174*0.21</f>
        <v>5.8153199999999998</v>
      </c>
      <c r="J174" s="93">
        <f t="shared" ref="J174:J184" si="53">H174+I174</f>
        <v>33.50732</v>
      </c>
      <c r="L174" s="153">
        <f t="shared" si="47"/>
        <v>15.772399999999999</v>
      </c>
      <c r="M174" s="92">
        <f t="shared" si="48"/>
        <v>27.812399999999997</v>
      </c>
      <c r="N174" s="9">
        <f t="shared" si="46"/>
        <v>5.840603999999999</v>
      </c>
      <c r="O174" s="93">
        <f t="shared" si="49"/>
        <v>33.653003999999996</v>
      </c>
    </row>
    <row r="175" spans="1:15" x14ac:dyDescent="0.3">
      <c r="A175" s="88" t="s">
        <v>2107</v>
      </c>
      <c r="B175" s="343" t="s">
        <v>2108</v>
      </c>
      <c r="C175" s="90" t="s">
        <v>1655</v>
      </c>
      <c r="D175" s="541">
        <v>8.41</v>
      </c>
      <c r="E175" s="91">
        <v>1.32</v>
      </c>
      <c r="F175" s="168">
        <v>1.33</v>
      </c>
      <c r="G175" s="2">
        <f t="shared" si="50"/>
        <v>11.1012</v>
      </c>
      <c r="H175" s="92">
        <f t="shared" si="51"/>
        <v>19.511200000000002</v>
      </c>
      <c r="I175" s="9">
        <f t="shared" si="52"/>
        <v>4.0973520000000008</v>
      </c>
      <c r="J175" s="93">
        <f t="shared" si="53"/>
        <v>23.608552000000003</v>
      </c>
      <c r="L175" s="153">
        <f t="shared" si="47"/>
        <v>11.185300000000002</v>
      </c>
      <c r="M175" s="92">
        <f t="shared" si="48"/>
        <v>19.595300000000002</v>
      </c>
      <c r="N175" s="9">
        <f t="shared" ref="N175:N184" si="54">M175*0.21</f>
        <v>4.1150130000000003</v>
      </c>
      <c r="O175" s="93">
        <f t="shared" si="49"/>
        <v>23.710313000000003</v>
      </c>
    </row>
    <row r="176" spans="1:15" x14ac:dyDescent="0.3">
      <c r="A176" s="88" t="s">
        <v>2109</v>
      </c>
      <c r="B176" s="343" t="s">
        <v>2110</v>
      </c>
      <c r="C176" s="90" t="s">
        <v>1655</v>
      </c>
      <c r="D176" s="541">
        <v>3.32</v>
      </c>
      <c r="E176" s="91">
        <v>1.34</v>
      </c>
      <c r="F176" s="168">
        <v>1.35</v>
      </c>
      <c r="G176" s="2">
        <f t="shared" si="50"/>
        <v>4.4488000000000003</v>
      </c>
      <c r="H176" s="92">
        <f t="shared" si="51"/>
        <v>7.7688000000000006</v>
      </c>
      <c r="I176" s="9">
        <f t="shared" si="52"/>
        <v>1.631448</v>
      </c>
      <c r="J176" s="93">
        <f t="shared" si="53"/>
        <v>9.4002480000000013</v>
      </c>
      <c r="L176" s="153">
        <f t="shared" si="47"/>
        <v>4.4820000000000002</v>
      </c>
      <c r="M176" s="92">
        <f t="shared" si="48"/>
        <v>7.8019999999999996</v>
      </c>
      <c r="N176" s="9">
        <f t="shared" si="54"/>
        <v>1.6384199999999998</v>
      </c>
      <c r="O176" s="93">
        <f t="shared" si="49"/>
        <v>9.4404199999999996</v>
      </c>
    </row>
    <row r="177" spans="1:15" x14ac:dyDescent="0.3">
      <c r="A177" s="88" t="s">
        <v>2111</v>
      </c>
      <c r="B177" s="343" t="s">
        <v>2112</v>
      </c>
      <c r="C177" s="90" t="s">
        <v>1655</v>
      </c>
      <c r="D177" s="541">
        <v>6.71</v>
      </c>
      <c r="E177" s="91">
        <v>1.36</v>
      </c>
      <c r="F177" s="168">
        <v>1.37</v>
      </c>
      <c r="G177" s="2">
        <f t="shared" si="50"/>
        <v>9.1256000000000004</v>
      </c>
      <c r="H177" s="92">
        <f t="shared" si="51"/>
        <v>15.835599999999999</v>
      </c>
      <c r="I177" s="9">
        <f t="shared" si="52"/>
        <v>3.3254759999999997</v>
      </c>
      <c r="J177" s="93">
        <f t="shared" si="53"/>
        <v>19.161075999999998</v>
      </c>
      <c r="L177" s="153">
        <f t="shared" si="47"/>
        <v>9.1927000000000003</v>
      </c>
      <c r="M177" s="92">
        <f t="shared" si="48"/>
        <v>15.902699999999999</v>
      </c>
      <c r="N177" s="9">
        <f t="shared" si="54"/>
        <v>3.3395669999999997</v>
      </c>
      <c r="O177" s="93">
        <f t="shared" si="49"/>
        <v>19.242266999999998</v>
      </c>
    </row>
    <row r="178" spans="1:15" x14ac:dyDescent="0.3">
      <c r="A178" s="88" t="s">
        <v>2113</v>
      </c>
      <c r="B178" s="343" t="s">
        <v>2114</v>
      </c>
      <c r="C178" s="90" t="s">
        <v>1655</v>
      </c>
      <c r="D178" s="541">
        <v>8.1499999999995101</v>
      </c>
      <c r="E178" s="91">
        <v>1.38</v>
      </c>
      <c r="F178" s="168">
        <v>1.39</v>
      </c>
      <c r="G178" s="2">
        <f t="shared" si="50"/>
        <v>11.246999999999323</v>
      </c>
      <c r="H178" s="92">
        <f t="shared" si="51"/>
        <v>19.396999999998833</v>
      </c>
      <c r="I178" s="9">
        <f t="shared" si="52"/>
        <v>4.0733699999997546</v>
      </c>
      <c r="J178" s="93">
        <f t="shared" si="53"/>
        <v>23.470369999998589</v>
      </c>
      <c r="L178" s="153">
        <f t="shared" si="47"/>
        <v>11.328499999999318</v>
      </c>
      <c r="M178" s="92">
        <f t="shared" si="48"/>
        <v>19.478499999998828</v>
      </c>
      <c r="N178" s="9">
        <f t="shared" si="54"/>
        <v>4.0904849999997541</v>
      </c>
      <c r="O178" s="93">
        <f t="shared" si="49"/>
        <v>23.568984999998584</v>
      </c>
    </row>
    <row r="179" spans="1:15" x14ac:dyDescent="0.3">
      <c r="A179" s="88" t="s">
        <v>2115</v>
      </c>
      <c r="B179" s="343" t="s">
        <v>2116</v>
      </c>
      <c r="C179" s="90" t="s">
        <v>1655</v>
      </c>
      <c r="D179" s="541">
        <v>13</v>
      </c>
      <c r="E179" s="91">
        <v>1.4</v>
      </c>
      <c r="F179" s="168">
        <v>1.41</v>
      </c>
      <c r="G179" s="2">
        <f t="shared" si="50"/>
        <v>18.2</v>
      </c>
      <c r="H179" s="92">
        <f t="shared" si="51"/>
        <v>31.2</v>
      </c>
      <c r="I179" s="9">
        <f t="shared" si="52"/>
        <v>6.5519999999999996</v>
      </c>
      <c r="J179" s="93">
        <f t="shared" si="53"/>
        <v>37.751999999999995</v>
      </c>
      <c r="L179" s="153">
        <f t="shared" si="47"/>
        <v>18.329999999999998</v>
      </c>
      <c r="M179" s="92">
        <f t="shared" si="48"/>
        <v>31.33</v>
      </c>
      <c r="N179" s="9">
        <f t="shared" si="54"/>
        <v>6.579299999999999</v>
      </c>
      <c r="O179" s="93">
        <f t="shared" si="49"/>
        <v>37.909299999999995</v>
      </c>
    </row>
    <row r="180" spans="1:15" x14ac:dyDescent="0.3">
      <c r="A180" s="88" t="s">
        <v>2117</v>
      </c>
      <c r="B180" s="343" t="s">
        <v>2118</v>
      </c>
      <c r="C180" s="90" t="s">
        <v>1655</v>
      </c>
      <c r="D180" s="541">
        <v>10.58</v>
      </c>
      <c r="E180" s="91">
        <v>1.42</v>
      </c>
      <c r="F180" s="168">
        <v>1.43</v>
      </c>
      <c r="G180" s="2">
        <f t="shared" si="50"/>
        <v>15.0236</v>
      </c>
      <c r="H180" s="92">
        <f t="shared" si="51"/>
        <v>25.6036</v>
      </c>
      <c r="I180" s="9">
        <f t="shared" si="52"/>
        <v>5.3767559999999994</v>
      </c>
      <c r="J180" s="93">
        <f t="shared" si="53"/>
        <v>30.980356</v>
      </c>
      <c r="L180" s="153">
        <f t="shared" si="47"/>
        <v>15.129399999999999</v>
      </c>
      <c r="M180" s="92">
        <f t="shared" si="48"/>
        <v>25.709399999999999</v>
      </c>
      <c r="N180" s="9">
        <f t="shared" si="54"/>
        <v>5.3989739999999999</v>
      </c>
      <c r="O180" s="93">
        <f t="shared" si="49"/>
        <v>31.108373999999998</v>
      </c>
    </row>
    <row r="181" spans="1:15" x14ac:dyDescent="0.3">
      <c r="A181" s="88" t="s">
        <v>2119</v>
      </c>
      <c r="B181" s="343" t="s">
        <v>2120</v>
      </c>
      <c r="C181" s="90" t="s">
        <v>1655</v>
      </c>
      <c r="D181" s="541">
        <v>4.29</v>
      </c>
      <c r="E181" s="91">
        <v>1.44</v>
      </c>
      <c r="F181" s="168">
        <v>1.45</v>
      </c>
      <c r="G181" s="2">
        <f t="shared" si="50"/>
        <v>6.1776</v>
      </c>
      <c r="H181" s="92">
        <f t="shared" si="51"/>
        <v>10.467600000000001</v>
      </c>
      <c r="I181" s="9">
        <f t="shared" si="52"/>
        <v>2.1981960000000003</v>
      </c>
      <c r="J181" s="93">
        <f t="shared" si="53"/>
        <v>12.665796</v>
      </c>
      <c r="L181" s="153">
        <f t="shared" si="47"/>
        <v>6.2204999999999995</v>
      </c>
      <c r="M181" s="92">
        <f t="shared" si="48"/>
        <v>10.5105</v>
      </c>
      <c r="N181" s="9">
        <f t="shared" si="54"/>
        <v>2.2072050000000001</v>
      </c>
      <c r="O181" s="93">
        <f t="shared" si="49"/>
        <v>12.717705</v>
      </c>
    </row>
    <row r="182" spans="1:15" x14ac:dyDescent="0.3">
      <c r="A182" s="88" t="s">
        <v>2121</v>
      </c>
      <c r="B182" s="343" t="s">
        <v>2122</v>
      </c>
      <c r="C182" s="90" t="s">
        <v>1655</v>
      </c>
      <c r="D182" s="541">
        <v>11.79</v>
      </c>
      <c r="E182" s="91">
        <v>1.46</v>
      </c>
      <c r="F182" s="168">
        <v>1.47</v>
      </c>
      <c r="G182" s="2">
        <f t="shared" si="50"/>
        <v>17.2134</v>
      </c>
      <c r="H182" s="92">
        <f t="shared" si="51"/>
        <v>29.003399999999999</v>
      </c>
      <c r="I182" s="9">
        <f t="shared" si="52"/>
        <v>6.0907139999999993</v>
      </c>
      <c r="J182" s="93">
        <f t="shared" si="53"/>
        <v>35.094113999999998</v>
      </c>
      <c r="L182" s="153">
        <f t="shared" si="47"/>
        <v>17.331299999999999</v>
      </c>
      <c r="M182" s="92">
        <f t="shared" si="48"/>
        <v>29.121299999999998</v>
      </c>
      <c r="N182" s="9">
        <f t="shared" si="54"/>
        <v>6.1154729999999997</v>
      </c>
      <c r="O182" s="93">
        <f t="shared" si="49"/>
        <v>35.236772999999999</v>
      </c>
    </row>
    <row r="183" spans="1:15" x14ac:dyDescent="0.3">
      <c r="A183" s="88" t="s">
        <v>2123</v>
      </c>
      <c r="B183" s="343" t="s">
        <v>2124</v>
      </c>
      <c r="C183" s="90" t="s">
        <v>1655</v>
      </c>
      <c r="D183" s="541">
        <v>17.600000000000001</v>
      </c>
      <c r="E183" s="91">
        <v>1.48</v>
      </c>
      <c r="F183" s="168">
        <v>1.49</v>
      </c>
      <c r="G183" s="2">
        <f t="shared" si="50"/>
        <v>26.048000000000002</v>
      </c>
      <c r="H183" s="92">
        <f t="shared" si="51"/>
        <v>43.648000000000003</v>
      </c>
      <c r="I183" s="9">
        <f t="shared" si="52"/>
        <v>9.1660800000000009</v>
      </c>
      <c r="J183" s="93">
        <f t="shared" si="53"/>
        <v>52.814080000000004</v>
      </c>
      <c r="L183" s="153">
        <f t="shared" si="47"/>
        <v>26.224</v>
      </c>
      <c r="M183" s="92">
        <f t="shared" si="48"/>
        <v>43.823999999999998</v>
      </c>
      <c r="N183" s="9">
        <f t="shared" si="54"/>
        <v>9.2030399999999997</v>
      </c>
      <c r="O183" s="93">
        <f t="shared" si="49"/>
        <v>53.02704</v>
      </c>
    </row>
    <row r="184" spans="1:15" x14ac:dyDescent="0.3">
      <c r="A184" s="88" t="s">
        <v>2125</v>
      </c>
      <c r="B184" s="343" t="s">
        <v>2126</v>
      </c>
      <c r="C184" s="90" t="s">
        <v>1655</v>
      </c>
      <c r="D184" s="541">
        <v>7.2</v>
      </c>
      <c r="E184" s="91">
        <v>1.5</v>
      </c>
      <c r="F184" s="168">
        <v>1.51</v>
      </c>
      <c r="G184" s="2">
        <f t="shared" si="50"/>
        <v>10.8</v>
      </c>
      <c r="H184" s="92">
        <f t="shared" si="51"/>
        <v>18</v>
      </c>
      <c r="I184" s="9">
        <f t="shared" si="52"/>
        <v>3.78</v>
      </c>
      <c r="J184" s="93">
        <f t="shared" si="53"/>
        <v>21.78</v>
      </c>
      <c r="L184" s="153">
        <f t="shared" si="47"/>
        <v>10.872</v>
      </c>
      <c r="M184" s="92">
        <f t="shared" si="48"/>
        <v>18.071999999999999</v>
      </c>
      <c r="N184" s="9">
        <f t="shared" si="54"/>
        <v>3.7951199999999998</v>
      </c>
      <c r="O184" s="93">
        <f t="shared" si="49"/>
        <v>21.86712</v>
      </c>
    </row>
    <row r="186" spans="1:15" x14ac:dyDescent="0.3">
      <c r="A186" s="199" t="s">
        <v>125</v>
      </c>
      <c r="B186" s="200" t="s">
        <v>2127</v>
      </c>
      <c r="C186" s="201" t="s">
        <v>1655</v>
      </c>
      <c r="D186" s="202">
        <v>13.43</v>
      </c>
      <c r="E186" s="203">
        <v>0.15</v>
      </c>
      <c r="F186" s="206">
        <v>0.2</v>
      </c>
      <c r="G186" s="2">
        <f t="shared" ref="G186:G208" si="55">D186*E186</f>
        <v>2.0145</v>
      </c>
      <c r="H186" s="204">
        <f t="shared" ref="H186:H208" si="56">G186+D186</f>
        <v>15.4445</v>
      </c>
      <c r="I186" s="9">
        <f t="shared" ref="I186:I208" si="57">H186*0.21</f>
        <v>3.2433449999999997</v>
      </c>
      <c r="J186" s="205">
        <f t="shared" ref="J186:J208" si="58">H186+I186</f>
        <v>18.687844999999999</v>
      </c>
      <c r="L186" s="153">
        <f t="shared" ref="L186:L208" si="59">D186*F186</f>
        <v>2.6859999999999999</v>
      </c>
      <c r="M186" s="204">
        <f t="shared" ref="M186:M208" si="60">D186+L186</f>
        <v>16.116</v>
      </c>
      <c r="N186" s="9">
        <f t="shared" ref="N186:N208" si="61">M186*0.21</f>
        <v>3.3843599999999996</v>
      </c>
      <c r="O186" s="205">
        <f t="shared" ref="O186:O208" si="62">M186+N186</f>
        <v>19.500360000000001</v>
      </c>
    </row>
    <row r="187" spans="1:15" x14ac:dyDescent="0.3">
      <c r="A187" s="199" t="s">
        <v>128</v>
      </c>
      <c r="B187" s="200" t="s">
        <v>2128</v>
      </c>
      <c r="C187" s="201" t="s">
        <v>1655</v>
      </c>
      <c r="D187" s="202">
        <v>13.6</v>
      </c>
      <c r="E187" s="203">
        <v>0.15</v>
      </c>
      <c r="F187" s="206">
        <v>0.2</v>
      </c>
      <c r="G187" s="2">
        <f t="shared" si="55"/>
        <v>2.04</v>
      </c>
      <c r="H187" s="204">
        <f t="shared" si="56"/>
        <v>15.64</v>
      </c>
      <c r="I187" s="9">
        <f t="shared" si="57"/>
        <v>3.2844000000000002</v>
      </c>
      <c r="J187" s="205">
        <f t="shared" si="58"/>
        <v>18.924400000000002</v>
      </c>
      <c r="L187" s="153">
        <f t="shared" si="59"/>
        <v>2.72</v>
      </c>
      <c r="M187" s="204">
        <f t="shared" si="60"/>
        <v>16.32</v>
      </c>
      <c r="N187" s="9">
        <f t="shared" si="61"/>
        <v>3.4272</v>
      </c>
      <c r="O187" s="205">
        <f t="shared" si="62"/>
        <v>19.747199999999999</v>
      </c>
    </row>
    <row r="188" spans="1:15" x14ac:dyDescent="0.3">
      <c r="A188" s="199" t="s">
        <v>133</v>
      </c>
      <c r="B188" s="200" t="s">
        <v>2129</v>
      </c>
      <c r="C188" s="201" t="s">
        <v>1655</v>
      </c>
      <c r="D188" s="202">
        <v>13.77</v>
      </c>
      <c r="E188" s="203">
        <v>0.15</v>
      </c>
      <c r="F188" s="206">
        <v>0.2</v>
      </c>
      <c r="G188" s="2">
        <f t="shared" si="55"/>
        <v>2.0654999999999997</v>
      </c>
      <c r="H188" s="204">
        <f t="shared" si="56"/>
        <v>15.8355</v>
      </c>
      <c r="I188" s="9">
        <f t="shared" si="57"/>
        <v>3.3254549999999998</v>
      </c>
      <c r="J188" s="205">
        <f t="shared" si="58"/>
        <v>19.160955000000001</v>
      </c>
      <c r="L188" s="153">
        <f t="shared" si="59"/>
        <v>2.754</v>
      </c>
      <c r="M188" s="204">
        <f t="shared" si="60"/>
        <v>16.524000000000001</v>
      </c>
      <c r="N188" s="9">
        <f t="shared" si="61"/>
        <v>3.47004</v>
      </c>
      <c r="O188" s="205">
        <f t="shared" si="62"/>
        <v>19.994040000000002</v>
      </c>
    </row>
    <row r="189" spans="1:15" x14ac:dyDescent="0.3">
      <c r="A189" s="199" t="s">
        <v>138</v>
      </c>
      <c r="B189" s="200" t="s">
        <v>2130</v>
      </c>
      <c r="C189" s="201" t="s">
        <v>1655</v>
      </c>
      <c r="D189" s="202">
        <v>13.94</v>
      </c>
      <c r="E189" s="203">
        <v>0.15</v>
      </c>
      <c r="F189" s="206">
        <v>0.2</v>
      </c>
      <c r="G189" s="2">
        <f t="shared" si="55"/>
        <v>2.0909999999999997</v>
      </c>
      <c r="H189" s="204">
        <f t="shared" si="56"/>
        <v>16.030999999999999</v>
      </c>
      <c r="I189" s="9">
        <f t="shared" si="57"/>
        <v>3.3665099999999994</v>
      </c>
      <c r="J189" s="205">
        <f t="shared" si="58"/>
        <v>19.397509999999997</v>
      </c>
      <c r="L189" s="153">
        <f t="shared" si="59"/>
        <v>2.7880000000000003</v>
      </c>
      <c r="M189" s="204">
        <f t="shared" si="60"/>
        <v>16.728000000000002</v>
      </c>
      <c r="N189" s="9">
        <f t="shared" si="61"/>
        <v>3.51288</v>
      </c>
      <c r="O189" s="205">
        <f t="shared" si="62"/>
        <v>20.240880000000001</v>
      </c>
    </row>
    <row r="190" spans="1:15" x14ac:dyDescent="0.3">
      <c r="A190" s="199" t="s">
        <v>196</v>
      </c>
      <c r="B190" s="200" t="s">
        <v>2131</v>
      </c>
      <c r="C190" s="201" t="s">
        <v>1655</v>
      </c>
      <c r="D190" s="202">
        <v>14.11</v>
      </c>
      <c r="E190" s="203">
        <v>0.15</v>
      </c>
      <c r="F190" s="206">
        <v>0.2</v>
      </c>
      <c r="G190" s="2">
        <f t="shared" si="55"/>
        <v>2.1164999999999998</v>
      </c>
      <c r="H190" s="204">
        <f t="shared" si="56"/>
        <v>16.226499999999998</v>
      </c>
      <c r="I190" s="9">
        <f t="shared" si="57"/>
        <v>3.4075649999999995</v>
      </c>
      <c r="J190" s="205">
        <f t="shared" si="58"/>
        <v>19.634064999999996</v>
      </c>
      <c r="L190" s="153">
        <f t="shared" si="59"/>
        <v>2.8220000000000001</v>
      </c>
      <c r="M190" s="204">
        <f t="shared" si="60"/>
        <v>16.931999999999999</v>
      </c>
      <c r="N190" s="9">
        <f t="shared" si="61"/>
        <v>3.5557199999999995</v>
      </c>
      <c r="O190" s="205">
        <f t="shared" si="62"/>
        <v>20.487719999999999</v>
      </c>
    </row>
    <row r="191" spans="1:15" x14ac:dyDescent="0.3">
      <c r="A191" s="199" t="s">
        <v>235</v>
      </c>
      <c r="B191" s="200" t="s">
        <v>2132</v>
      </c>
      <c r="C191" s="201" t="s">
        <v>1655</v>
      </c>
      <c r="D191" s="202">
        <v>14.28</v>
      </c>
      <c r="E191" s="203">
        <v>0.15</v>
      </c>
      <c r="F191" s="206">
        <v>0.2</v>
      </c>
      <c r="G191" s="2">
        <f t="shared" si="55"/>
        <v>2.1419999999999999</v>
      </c>
      <c r="H191" s="204">
        <f t="shared" si="56"/>
        <v>16.422000000000001</v>
      </c>
      <c r="I191" s="9">
        <f t="shared" si="57"/>
        <v>3.44862</v>
      </c>
      <c r="J191" s="205">
        <f t="shared" si="58"/>
        <v>19.870620000000002</v>
      </c>
      <c r="L191" s="153">
        <f t="shared" si="59"/>
        <v>2.8559999999999999</v>
      </c>
      <c r="M191" s="204">
        <f t="shared" si="60"/>
        <v>17.135999999999999</v>
      </c>
      <c r="N191" s="9">
        <f t="shared" si="61"/>
        <v>3.5985599999999995</v>
      </c>
      <c r="O191" s="205">
        <f t="shared" si="62"/>
        <v>20.734559999999998</v>
      </c>
    </row>
    <row r="192" spans="1:15" x14ac:dyDescent="0.3">
      <c r="A192" s="199" t="s">
        <v>236</v>
      </c>
      <c r="B192" s="200" t="s">
        <v>2133</v>
      </c>
      <c r="C192" s="201" t="s">
        <v>1655</v>
      </c>
      <c r="D192" s="202">
        <v>14.45</v>
      </c>
      <c r="E192" s="203">
        <v>0.15</v>
      </c>
      <c r="F192" s="206">
        <v>0.2</v>
      </c>
      <c r="G192" s="2">
        <f t="shared" si="55"/>
        <v>2.1675</v>
      </c>
      <c r="H192" s="204">
        <f t="shared" si="56"/>
        <v>16.6175</v>
      </c>
      <c r="I192" s="9">
        <f t="shared" si="57"/>
        <v>3.4896749999999996</v>
      </c>
      <c r="J192" s="205">
        <f t="shared" si="58"/>
        <v>20.107174999999998</v>
      </c>
      <c r="L192" s="153">
        <f t="shared" si="59"/>
        <v>2.89</v>
      </c>
      <c r="M192" s="204">
        <f t="shared" si="60"/>
        <v>17.34</v>
      </c>
      <c r="N192" s="9">
        <f t="shared" si="61"/>
        <v>3.6414</v>
      </c>
      <c r="O192" s="205">
        <f t="shared" si="62"/>
        <v>20.981400000000001</v>
      </c>
    </row>
    <row r="193" spans="1:15" x14ac:dyDescent="0.3">
      <c r="A193" s="199" t="s">
        <v>489</v>
      </c>
      <c r="B193" s="200" t="s">
        <v>2134</v>
      </c>
      <c r="C193" s="201" t="s">
        <v>1655</v>
      </c>
      <c r="D193" s="202">
        <v>14.62</v>
      </c>
      <c r="E193" s="203">
        <v>0.15</v>
      </c>
      <c r="F193" s="206">
        <v>0.2</v>
      </c>
      <c r="G193" s="2">
        <f t="shared" si="55"/>
        <v>2.1929999999999996</v>
      </c>
      <c r="H193" s="204">
        <f t="shared" si="56"/>
        <v>16.812999999999999</v>
      </c>
      <c r="I193" s="9">
        <f t="shared" si="57"/>
        <v>3.5307299999999997</v>
      </c>
      <c r="J193" s="205">
        <f t="shared" si="58"/>
        <v>20.343729999999997</v>
      </c>
      <c r="L193" s="153">
        <f t="shared" si="59"/>
        <v>2.9239999999999999</v>
      </c>
      <c r="M193" s="204">
        <f t="shared" si="60"/>
        <v>17.544</v>
      </c>
      <c r="N193" s="9">
        <f t="shared" si="61"/>
        <v>3.68424</v>
      </c>
      <c r="O193" s="205">
        <f t="shared" si="62"/>
        <v>21.22824</v>
      </c>
    </row>
    <row r="194" spans="1:15" x14ac:dyDescent="0.3">
      <c r="A194" s="199" t="s">
        <v>524</v>
      </c>
      <c r="B194" s="346" t="s">
        <v>2135</v>
      </c>
      <c r="C194" s="201" t="s">
        <v>1655</v>
      </c>
      <c r="D194" s="202">
        <v>14.79</v>
      </c>
      <c r="E194" s="203">
        <v>0.15</v>
      </c>
      <c r="F194" s="206">
        <v>0.2</v>
      </c>
      <c r="G194" s="2">
        <f t="shared" si="55"/>
        <v>2.2184999999999997</v>
      </c>
      <c r="H194" s="204">
        <f t="shared" si="56"/>
        <v>17.008499999999998</v>
      </c>
      <c r="I194" s="9">
        <f t="shared" si="57"/>
        <v>3.5717849999999993</v>
      </c>
      <c r="J194" s="205">
        <f t="shared" si="58"/>
        <v>20.580284999999996</v>
      </c>
      <c r="L194" s="153">
        <f t="shared" si="59"/>
        <v>2.9580000000000002</v>
      </c>
      <c r="M194" s="204">
        <f t="shared" si="60"/>
        <v>17.747999999999998</v>
      </c>
      <c r="N194" s="9">
        <f t="shared" si="61"/>
        <v>3.7270799999999995</v>
      </c>
      <c r="O194" s="205">
        <f t="shared" si="62"/>
        <v>21.475079999999998</v>
      </c>
    </row>
    <row r="195" spans="1:15" x14ac:dyDescent="0.3">
      <c r="A195" s="199" t="s">
        <v>526</v>
      </c>
      <c r="B195" s="346" t="s">
        <v>2135</v>
      </c>
      <c r="C195" s="201" t="s">
        <v>1655</v>
      </c>
      <c r="D195" s="202">
        <v>14.96</v>
      </c>
      <c r="E195" s="203">
        <v>0.15</v>
      </c>
      <c r="F195" s="206">
        <v>0.2</v>
      </c>
      <c r="G195" s="2">
        <f t="shared" si="55"/>
        <v>2.2440000000000002</v>
      </c>
      <c r="H195" s="204">
        <f t="shared" si="56"/>
        <v>17.204000000000001</v>
      </c>
      <c r="I195" s="9">
        <f t="shared" si="57"/>
        <v>3.6128399999999998</v>
      </c>
      <c r="J195" s="205">
        <f t="shared" si="58"/>
        <v>20.816839999999999</v>
      </c>
      <c r="L195" s="153">
        <f t="shared" si="59"/>
        <v>2.9920000000000004</v>
      </c>
      <c r="M195" s="204">
        <f t="shared" si="60"/>
        <v>17.952000000000002</v>
      </c>
      <c r="N195" s="9">
        <f t="shared" si="61"/>
        <v>3.7699200000000004</v>
      </c>
      <c r="O195" s="205">
        <f t="shared" si="62"/>
        <v>21.721920000000001</v>
      </c>
    </row>
    <row r="196" spans="1:15" x14ac:dyDescent="0.3">
      <c r="A196" s="199" t="s">
        <v>551</v>
      </c>
      <c r="B196" s="200" t="s">
        <v>2136</v>
      </c>
      <c r="C196" s="201" t="s">
        <v>1655</v>
      </c>
      <c r="D196" s="202">
        <v>15.13</v>
      </c>
      <c r="E196" s="203">
        <v>0.15</v>
      </c>
      <c r="F196" s="206">
        <v>0.2</v>
      </c>
      <c r="G196" s="2">
        <f t="shared" si="55"/>
        <v>2.2694999999999999</v>
      </c>
      <c r="H196" s="204">
        <f t="shared" si="56"/>
        <v>17.3995</v>
      </c>
      <c r="I196" s="9">
        <f t="shared" si="57"/>
        <v>3.6538949999999999</v>
      </c>
      <c r="J196" s="205">
        <f t="shared" si="58"/>
        <v>21.053394999999998</v>
      </c>
      <c r="L196" s="153">
        <f t="shared" si="59"/>
        <v>3.0260000000000002</v>
      </c>
      <c r="M196" s="204">
        <f t="shared" si="60"/>
        <v>18.156000000000002</v>
      </c>
      <c r="N196" s="9">
        <f t="shared" si="61"/>
        <v>3.8127600000000004</v>
      </c>
      <c r="O196" s="205">
        <f t="shared" si="62"/>
        <v>21.968760000000003</v>
      </c>
    </row>
    <row r="197" spans="1:15" x14ac:dyDescent="0.3">
      <c r="A197" s="199" t="s">
        <v>977</v>
      </c>
      <c r="B197" s="200" t="s">
        <v>2137</v>
      </c>
      <c r="C197" s="201" t="s">
        <v>1655</v>
      </c>
      <c r="D197" s="202">
        <v>15.3</v>
      </c>
      <c r="E197" s="203">
        <v>0.15</v>
      </c>
      <c r="F197" s="206">
        <v>0.2</v>
      </c>
      <c r="G197" s="2">
        <f t="shared" si="55"/>
        <v>2.2949999999999999</v>
      </c>
      <c r="H197" s="204">
        <f t="shared" si="56"/>
        <v>17.594999999999999</v>
      </c>
      <c r="I197" s="9">
        <f t="shared" si="57"/>
        <v>3.6949499999999995</v>
      </c>
      <c r="J197" s="205">
        <f t="shared" si="58"/>
        <v>21.289949999999997</v>
      </c>
      <c r="L197" s="153">
        <f t="shared" si="59"/>
        <v>3.0600000000000005</v>
      </c>
      <c r="M197" s="204">
        <f t="shared" si="60"/>
        <v>18.36</v>
      </c>
      <c r="N197" s="9">
        <f t="shared" si="61"/>
        <v>3.8555999999999999</v>
      </c>
      <c r="O197" s="205">
        <f t="shared" si="62"/>
        <v>22.215599999999998</v>
      </c>
    </row>
    <row r="198" spans="1:15" x14ac:dyDescent="0.3">
      <c r="A198" s="199" t="s">
        <v>2138</v>
      </c>
      <c r="B198" s="200" t="s">
        <v>2139</v>
      </c>
      <c r="C198" s="201" t="s">
        <v>1655</v>
      </c>
      <c r="D198" s="202">
        <v>15.47</v>
      </c>
      <c r="E198" s="203">
        <v>0.15</v>
      </c>
      <c r="F198" s="206">
        <v>0.2</v>
      </c>
      <c r="G198" s="2">
        <f t="shared" si="55"/>
        <v>2.3205</v>
      </c>
      <c r="H198" s="204">
        <f t="shared" si="56"/>
        <v>17.790500000000002</v>
      </c>
      <c r="I198" s="9">
        <f t="shared" si="57"/>
        <v>3.736005</v>
      </c>
      <c r="J198" s="205">
        <f t="shared" si="58"/>
        <v>21.526505</v>
      </c>
      <c r="L198" s="153">
        <f t="shared" si="59"/>
        <v>3.0940000000000003</v>
      </c>
      <c r="M198" s="204">
        <f t="shared" si="60"/>
        <v>18.564</v>
      </c>
      <c r="N198" s="9">
        <f t="shared" si="61"/>
        <v>3.8984399999999999</v>
      </c>
      <c r="O198" s="205">
        <f t="shared" si="62"/>
        <v>22.462440000000001</v>
      </c>
    </row>
    <row r="199" spans="1:15" x14ac:dyDescent="0.3">
      <c r="A199" s="199" t="s">
        <v>2140</v>
      </c>
      <c r="B199" s="200" t="s">
        <v>2141</v>
      </c>
      <c r="C199" s="201" t="s">
        <v>1655</v>
      </c>
      <c r="D199" s="202">
        <v>15.64</v>
      </c>
      <c r="E199" s="203">
        <v>0.15</v>
      </c>
      <c r="F199" s="206">
        <v>0.2</v>
      </c>
      <c r="G199" s="2">
        <f t="shared" si="55"/>
        <v>2.3460000000000001</v>
      </c>
      <c r="H199" s="204">
        <f t="shared" si="56"/>
        <v>17.986000000000001</v>
      </c>
      <c r="I199" s="9">
        <f t="shared" si="57"/>
        <v>3.7770600000000001</v>
      </c>
      <c r="J199" s="205">
        <f t="shared" si="58"/>
        <v>21.763059999999999</v>
      </c>
      <c r="L199" s="153">
        <f t="shared" si="59"/>
        <v>3.1280000000000001</v>
      </c>
      <c r="M199" s="204">
        <f t="shared" si="60"/>
        <v>18.768000000000001</v>
      </c>
      <c r="N199" s="9">
        <f t="shared" si="61"/>
        <v>3.9412799999999999</v>
      </c>
      <c r="O199" s="205">
        <f t="shared" si="62"/>
        <v>22.70928</v>
      </c>
    </row>
    <row r="200" spans="1:15" x14ac:dyDescent="0.3">
      <c r="A200" s="199" t="s">
        <v>2142</v>
      </c>
      <c r="B200" s="200" t="s">
        <v>2143</v>
      </c>
      <c r="C200" s="201" t="s">
        <v>1655</v>
      </c>
      <c r="D200" s="202">
        <v>15.81</v>
      </c>
      <c r="E200" s="203">
        <v>0.15</v>
      </c>
      <c r="F200" s="206">
        <v>0.2</v>
      </c>
      <c r="G200" s="2">
        <f t="shared" si="55"/>
        <v>2.3715000000000002</v>
      </c>
      <c r="H200" s="204">
        <f t="shared" si="56"/>
        <v>18.1815</v>
      </c>
      <c r="I200" s="9">
        <f t="shared" si="57"/>
        <v>3.8181149999999997</v>
      </c>
      <c r="J200" s="205">
        <f t="shared" si="58"/>
        <v>21.999614999999999</v>
      </c>
      <c r="L200" s="153">
        <f t="shared" si="59"/>
        <v>3.1620000000000004</v>
      </c>
      <c r="M200" s="204">
        <f t="shared" si="60"/>
        <v>18.972000000000001</v>
      </c>
      <c r="N200" s="9">
        <f t="shared" si="61"/>
        <v>3.9841200000000003</v>
      </c>
      <c r="O200" s="205">
        <f t="shared" si="62"/>
        <v>22.956120000000002</v>
      </c>
    </row>
    <row r="201" spans="1:15" x14ac:dyDescent="0.3">
      <c r="A201" s="199" t="s">
        <v>2144</v>
      </c>
      <c r="B201" s="200" t="s">
        <v>2145</v>
      </c>
      <c r="C201" s="201" t="s">
        <v>1655</v>
      </c>
      <c r="D201" s="202">
        <v>15.98</v>
      </c>
      <c r="E201" s="203">
        <v>0.15</v>
      </c>
      <c r="F201" s="206">
        <v>0.2</v>
      </c>
      <c r="G201" s="2">
        <f t="shared" si="55"/>
        <v>2.3969999999999998</v>
      </c>
      <c r="H201" s="204">
        <f t="shared" si="56"/>
        <v>18.376999999999999</v>
      </c>
      <c r="I201" s="9">
        <f t="shared" si="57"/>
        <v>3.8591699999999998</v>
      </c>
      <c r="J201" s="205">
        <f t="shared" si="58"/>
        <v>22.236169999999998</v>
      </c>
      <c r="L201" s="153">
        <f t="shared" si="59"/>
        <v>3.1960000000000002</v>
      </c>
      <c r="M201" s="204">
        <f t="shared" si="60"/>
        <v>19.176000000000002</v>
      </c>
      <c r="N201" s="9">
        <f t="shared" si="61"/>
        <v>4.0269599999999999</v>
      </c>
      <c r="O201" s="205">
        <f t="shared" si="62"/>
        <v>23.202960000000001</v>
      </c>
    </row>
    <row r="202" spans="1:15" x14ac:dyDescent="0.3">
      <c r="A202" s="199" t="s">
        <v>2146</v>
      </c>
      <c r="B202" s="200" t="s">
        <v>2147</v>
      </c>
      <c r="C202" s="201" t="s">
        <v>1655</v>
      </c>
      <c r="D202" s="202">
        <v>16.149999999999999</v>
      </c>
      <c r="E202" s="203">
        <v>0.15</v>
      </c>
      <c r="F202" s="206">
        <v>0.2</v>
      </c>
      <c r="G202" s="2">
        <f t="shared" si="55"/>
        <v>2.4224999999999999</v>
      </c>
      <c r="H202" s="204">
        <f t="shared" si="56"/>
        <v>18.572499999999998</v>
      </c>
      <c r="I202" s="9">
        <f t="shared" si="57"/>
        <v>3.9002249999999994</v>
      </c>
      <c r="J202" s="205">
        <f t="shared" si="58"/>
        <v>22.472724999999997</v>
      </c>
      <c r="L202" s="153">
        <f t="shared" si="59"/>
        <v>3.23</v>
      </c>
      <c r="M202" s="204">
        <f t="shared" si="60"/>
        <v>19.38</v>
      </c>
      <c r="N202" s="9">
        <f t="shared" si="61"/>
        <v>4.0697999999999999</v>
      </c>
      <c r="O202" s="205">
        <f t="shared" si="62"/>
        <v>23.4498</v>
      </c>
    </row>
    <row r="203" spans="1:15" x14ac:dyDescent="0.3">
      <c r="A203" s="199" t="s">
        <v>2148</v>
      </c>
      <c r="B203" s="200" t="s">
        <v>2149</v>
      </c>
      <c r="C203" s="201" t="s">
        <v>1655</v>
      </c>
      <c r="D203" s="202">
        <v>16.32</v>
      </c>
      <c r="E203" s="203">
        <v>0.15</v>
      </c>
      <c r="F203" s="206">
        <v>0.2</v>
      </c>
      <c r="G203" s="2">
        <f t="shared" si="55"/>
        <v>2.448</v>
      </c>
      <c r="H203" s="204">
        <f t="shared" si="56"/>
        <v>18.768000000000001</v>
      </c>
      <c r="I203" s="9">
        <f t="shared" si="57"/>
        <v>3.9412799999999999</v>
      </c>
      <c r="J203" s="205">
        <f t="shared" si="58"/>
        <v>22.70928</v>
      </c>
      <c r="L203" s="153">
        <f t="shared" si="59"/>
        <v>3.2640000000000002</v>
      </c>
      <c r="M203" s="204">
        <f t="shared" si="60"/>
        <v>19.584</v>
      </c>
      <c r="N203" s="9">
        <f t="shared" si="61"/>
        <v>4.1126399999999999</v>
      </c>
      <c r="O203" s="205">
        <f t="shared" si="62"/>
        <v>23.696639999999999</v>
      </c>
    </row>
    <row r="204" spans="1:15" x14ac:dyDescent="0.3">
      <c r="A204" s="199" t="s">
        <v>2150</v>
      </c>
      <c r="B204" s="200" t="s">
        <v>2151</v>
      </c>
      <c r="C204" s="201" t="s">
        <v>1655</v>
      </c>
      <c r="D204" s="202">
        <v>16.489999999999998</v>
      </c>
      <c r="E204" s="203">
        <v>0.15</v>
      </c>
      <c r="F204" s="206">
        <v>0.2</v>
      </c>
      <c r="G204" s="2">
        <f t="shared" si="55"/>
        <v>2.4734999999999996</v>
      </c>
      <c r="H204" s="204">
        <f t="shared" si="56"/>
        <v>18.963499999999996</v>
      </c>
      <c r="I204" s="9">
        <f t="shared" si="57"/>
        <v>3.9823349999999991</v>
      </c>
      <c r="J204" s="205">
        <f t="shared" si="58"/>
        <v>22.945834999999995</v>
      </c>
      <c r="L204" s="153">
        <f t="shared" si="59"/>
        <v>3.298</v>
      </c>
      <c r="M204" s="204">
        <f t="shared" si="60"/>
        <v>19.787999999999997</v>
      </c>
      <c r="N204" s="9">
        <f t="shared" si="61"/>
        <v>4.155479999999999</v>
      </c>
      <c r="O204" s="205">
        <f t="shared" si="62"/>
        <v>23.943479999999994</v>
      </c>
    </row>
    <row r="205" spans="1:15" x14ac:dyDescent="0.3">
      <c r="A205" s="199" t="s">
        <v>2152</v>
      </c>
      <c r="B205" s="200" t="s">
        <v>2153</v>
      </c>
      <c r="C205" s="201" t="s">
        <v>1655</v>
      </c>
      <c r="D205" s="202">
        <v>16.66</v>
      </c>
      <c r="E205" s="203">
        <v>0.15</v>
      </c>
      <c r="F205" s="206">
        <v>0.2</v>
      </c>
      <c r="G205" s="2">
        <f t="shared" si="55"/>
        <v>2.4990000000000001</v>
      </c>
      <c r="H205" s="204">
        <f t="shared" si="56"/>
        <v>19.158999999999999</v>
      </c>
      <c r="I205" s="9">
        <f t="shared" si="57"/>
        <v>4.02339</v>
      </c>
      <c r="J205" s="205">
        <f t="shared" si="58"/>
        <v>23.182389999999998</v>
      </c>
      <c r="L205" s="153">
        <f t="shared" si="59"/>
        <v>3.3320000000000003</v>
      </c>
      <c r="M205" s="204">
        <f t="shared" si="60"/>
        <v>19.992000000000001</v>
      </c>
      <c r="N205" s="9">
        <f t="shared" si="61"/>
        <v>4.1983199999999998</v>
      </c>
      <c r="O205" s="205">
        <f t="shared" si="62"/>
        <v>24.19032</v>
      </c>
    </row>
    <row r="206" spans="1:15" x14ac:dyDescent="0.3">
      <c r="A206" s="199" t="s">
        <v>2154</v>
      </c>
      <c r="B206" s="200" t="s">
        <v>2155</v>
      </c>
      <c r="C206" s="201" t="s">
        <v>1655</v>
      </c>
      <c r="D206" s="202">
        <v>16.829999999999998</v>
      </c>
      <c r="E206" s="203">
        <v>0.15</v>
      </c>
      <c r="F206" s="206">
        <v>0.2</v>
      </c>
      <c r="G206" s="2">
        <f t="shared" si="55"/>
        <v>2.5244999999999997</v>
      </c>
      <c r="H206" s="204">
        <f t="shared" si="56"/>
        <v>19.354499999999998</v>
      </c>
      <c r="I206" s="9">
        <f t="shared" si="57"/>
        <v>4.0644449999999992</v>
      </c>
      <c r="J206" s="205">
        <f t="shared" si="58"/>
        <v>23.418944999999997</v>
      </c>
      <c r="L206" s="153">
        <f t="shared" si="59"/>
        <v>3.3659999999999997</v>
      </c>
      <c r="M206" s="204">
        <f t="shared" si="60"/>
        <v>20.195999999999998</v>
      </c>
      <c r="N206" s="9">
        <f t="shared" si="61"/>
        <v>4.2411599999999998</v>
      </c>
      <c r="O206" s="205">
        <f t="shared" si="62"/>
        <v>24.437159999999999</v>
      </c>
    </row>
    <row r="207" spans="1:15" x14ac:dyDescent="0.3">
      <c r="A207" s="199" t="s">
        <v>2156</v>
      </c>
      <c r="B207" s="200" t="s">
        <v>2157</v>
      </c>
      <c r="C207" s="201" t="s">
        <v>1655</v>
      </c>
      <c r="D207" s="202">
        <v>17</v>
      </c>
      <c r="E207" s="203">
        <v>0.15</v>
      </c>
      <c r="F207" s="206">
        <v>0.2</v>
      </c>
      <c r="G207" s="2">
        <f t="shared" si="55"/>
        <v>2.5499999999999998</v>
      </c>
      <c r="H207" s="204">
        <f t="shared" si="56"/>
        <v>19.55</v>
      </c>
      <c r="I207" s="9">
        <f t="shared" si="57"/>
        <v>4.1055000000000001</v>
      </c>
      <c r="J207" s="205">
        <f t="shared" si="58"/>
        <v>23.6555</v>
      </c>
      <c r="L207" s="153">
        <f t="shared" si="59"/>
        <v>3.4000000000000004</v>
      </c>
      <c r="M207" s="204">
        <f t="shared" si="60"/>
        <v>20.399999999999999</v>
      </c>
      <c r="N207" s="9">
        <f t="shared" si="61"/>
        <v>4.2839999999999998</v>
      </c>
      <c r="O207" s="205">
        <f t="shared" si="62"/>
        <v>24.683999999999997</v>
      </c>
    </row>
    <row r="208" spans="1:15" x14ac:dyDescent="0.3">
      <c r="A208" s="199" t="s">
        <v>2158</v>
      </c>
      <c r="B208" s="200" t="s">
        <v>2159</v>
      </c>
      <c r="C208" s="201" t="s">
        <v>1655</v>
      </c>
      <c r="D208" s="202">
        <v>17.170000000000002</v>
      </c>
      <c r="E208" s="203">
        <v>0.15</v>
      </c>
      <c r="F208" s="206">
        <v>0.2</v>
      </c>
      <c r="G208" s="2">
        <f t="shared" si="55"/>
        <v>2.5755000000000003</v>
      </c>
      <c r="H208" s="204">
        <f t="shared" si="56"/>
        <v>19.745500000000003</v>
      </c>
      <c r="I208" s="9">
        <f t="shared" si="57"/>
        <v>4.1465550000000002</v>
      </c>
      <c r="J208" s="205">
        <f t="shared" si="58"/>
        <v>23.892055000000003</v>
      </c>
      <c r="L208" s="153">
        <f t="shared" si="59"/>
        <v>3.4340000000000006</v>
      </c>
      <c r="M208" s="204">
        <f t="shared" si="60"/>
        <v>20.604000000000003</v>
      </c>
      <c r="N208" s="9">
        <f t="shared" si="61"/>
        <v>4.3268400000000007</v>
      </c>
      <c r="O208" s="205">
        <f t="shared" si="62"/>
        <v>24.930840000000003</v>
      </c>
    </row>
    <row r="210" spans="1:15" x14ac:dyDescent="0.3">
      <c r="A210" s="207" t="s">
        <v>137</v>
      </c>
      <c r="B210" s="208" t="s">
        <v>2160</v>
      </c>
      <c r="C210" s="209" t="s">
        <v>1655</v>
      </c>
      <c r="D210" s="210">
        <v>12.54</v>
      </c>
      <c r="E210" s="211">
        <v>0.04</v>
      </c>
      <c r="F210" s="444">
        <v>0.12</v>
      </c>
      <c r="G210" s="2">
        <f t="shared" ref="G210:G229" si="63">D210*E210</f>
        <v>0.50159999999999993</v>
      </c>
      <c r="H210" s="212">
        <f t="shared" ref="H210:H229" si="64">G210+D210</f>
        <v>13.041599999999999</v>
      </c>
      <c r="I210" s="9">
        <f t="shared" ref="I210:I229" si="65">H210*0.21</f>
        <v>2.7387359999999998</v>
      </c>
      <c r="J210" s="213">
        <f t="shared" ref="J210:J229" si="66">H210+I210</f>
        <v>15.780335999999998</v>
      </c>
      <c r="L210" s="153">
        <f t="shared" ref="L210:L229" si="67">D210*F210</f>
        <v>1.5047999999999999</v>
      </c>
      <c r="M210" s="212">
        <f t="shared" ref="M210:M229" si="68">D210+L210</f>
        <v>14.044799999999999</v>
      </c>
      <c r="N210" s="9">
        <f t="shared" ref="N210:N229" si="69">M210*0.21</f>
        <v>2.9494079999999996</v>
      </c>
      <c r="O210" s="213">
        <f t="shared" ref="O210:O229" si="70">M210+N210</f>
        <v>16.994207999999997</v>
      </c>
    </row>
    <row r="211" spans="1:15" x14ac:dyDescent="0.3">
      <c r="A211" s="207" t="s">
        <v>226</v>
      </c>
      <c r="B211" s="208" t="s">
        <v>2161</v>
      </c>
      <c r="C211" s="209" t="s">
        <v>1655</v>
      </c>
      <c r="D211" s="210">
        <v>12.36</v>
      </c>
      <c r="E211" s="211">
        <v>0.04</v>
      </c>
      <c r="F211" s="444">
        <v>0.12</v>
      </c>
      <c r="G211" s="2">
        <f t="shared" si="63"/>
        <v>0.49440000000000001</v>
      </c>
      <c r="H211" s="212">
        <f t="shared" si="64"/>
        <v>12.8544</v>
      </c>
      <c r="I211" s="9">
        <f t="shared" si="65"/>
        <v>2.699424</v>
      </c>
      <c r="J211" s="213">
        <f t="shared" si="66"/>
        <v>15.553824000000001</v>
      </c>
      <c r="L211" s="153">
        <f t="shared" si="67"/>
        <v>1.4831999999999999</v>
      </c>
      <c r="M211" s="212">
        <f t="shared" si="68"/>
        <v>13.8432</v>
      </c>
      <c r="N211" s="9">
        <f t="shared" si="69"/>
        <v>2.9070719999999999</v>
      </c>
      <c r="O211" s="213">
        <f t="shared" si="70"/>
        <v>16.750271999999999</v>
      </c>
    </row>
    <row r="212" spans="1:15" x14ac:dyDescent="0.3">
      <c r="A212" s="207" t="s">
        <v>227</v>
      </c>
      <c r="B212" s="208" t="s">
        <v>2162</v>
      </c>
      <c r="C212" s="209" t="s">
        <v>1655</v>
      </c>
      <c r="D212" s="210">
        <v>12.18</v>
      </c>
      <c r="E212" s="211">
        <v>0.04</v>
      </c>
      <c r="F212" s="444">
        <v>0.12</v>
      </c>
      <c r="G212" s="2">
        <f t="shared" si="63"/>
        <v>0.48720000000000002</v>
      </c>
      <c r="H212" s="212">
        <f t="shared" si="64"/>
        <v>12.667199999999999</v>
      </c>
      <c r="I212" s="9">
        <f t="shared" si="65"/>
        <v>2.6601119999999998</v>
      </c>
      <c r="J212" s="213">
        <f t="shared" si="66"/>
        <v>15.327311999999999</v>
      </c>
      <c r="L212" s="153">
        <f t="shared" si="67"/>
        <v>1.4616</v>
      </c>
      <c r="M212" s="212">
        <f t="shared" si="68"/>
        <v>13.6416</v>
      </c>
      <c r="N212" s="9">
        <f t="shared" si="69"/>
        <v>2.8647360000000002</v>
      </c>
      <c r="O212" s="213">
        <f t="shared" si="70"/>
        <v>16.506336000000001</v>
      </c>
    </row>
    <row r="213" spans="1:15" x14ac:dyDescent="0.3">
      <c r="A213" s="207" t="s">
        <v>273</v>
      </c>
      <c r="B213" s="208" t="s">
        <v>2163</v>
      </c>
      <c r="C213" s="209" t="s">
        <v>1655</v>
      </c>
      <c r="D213" s="210">
        <v>12</v>
      </c>
      <c r="E213" s="211">
        <v>0.04</v>
      </c>
      <c r="F213" s="444">
        <v>0.12</v>
      </c>
      <c r="G213" s="2">
        <f t="shared" si="63"/>
        <v>0.48</v>
      </c>
      <c r="H213" s="212">
        <f t="shared" si="64"/>
        <v>12.48</v>
      </c>
      <c r="I213" s="9">
        <f t="shared" si="65"/>
        <v>2.6208</v>
      </c>
      <c r="J213" s="213">
        <f t="shared" si="66"/>
        <v>15.1008</v>
      </c>
      <c r="L213" s="153">
        <f t="shared" si="67"/>
        <v>1.44</v>
      </c>
      <c r="M213" s="212">
        <f t="shared" si="68"/>
        <v>13.44</v>
      </c>
      <c r="N213" s="9">
        <f t="shared" si="69"/>
        <v>2.8223999999999996</v>
      </c>
      <c r="O213" s="213">
        <f t="shared" si="70"/>
        <v>16.2624</v>
      </c>
    </row>
    <row r="214" spans="1:15" x14ac:dyDescent="0.3">
      <c r="A214" s="207" t="s">
        <v>380</v>
      </c>
      <c r="B214" s="208" t="s">
        <v>2164</v>
      </c>
      <c r="C214" s="209" t="s">
        <v>1655</v>
      </c>
      <c r="D214" s="210">
        <v>11.82</v>
      </c>
      <c r="E214" s="211">
        <v>0.04</v>
      </c>
      <c r="F214" s="444">
        <v>0.12</v>
      </c>
      <c r="G214" s="2">
        <f t="shared" si="63"/>
        <v>0.4728</v>
      </c>
      <c r="H214" s="212">
        <f t="shared" si="64"/>
        <v>12.2928</v>
      </c>
      <c r="I214" s="9">
        <f t="shared" si="65"/>
        <v>2.5814879999999998</v>
      </c>
      <c r="J214" s="213">
        <f t="shared" si="66"/>
        <v>14.874288</v>
      </c>
      <c r="L214" s="153">
        <f t="shared" si="67"/>
        <v>1.4183999999999999</v>
      </c>
      <c r="M214" s="212">
        <f t="shared" si="68"/>
        <v>13.2384</v>
      </c>
      <c r="N214" s="9">
        <f t="shared" si="69"/>
        <v>2.7800639999999999</v>
      </c>
      <c r="O214" s="213">
        <f t="shared" si="70"/>
        <v>16.018464000000002</v>
      </c>
    </row>
    <row r="215" spans="1:15" x14ac:dyDescent="0.3">
      <c r="A215" s="207" t="s">
        <v>767</v>
      </c>
      <c r="B215" s="208" t="s">
        <v>2165</v>
      </c>
      <c r="C215" s="209" t="s">
        <v>1655</v>
      </c>
      <c r="D215" s="210">
        <v>11.64</v>
      </c>
      <c r="E215" s="211">
        <v>0.04</v>
      </c>
      <c r="F215" s="444">
        <v>0.12</v>
      </c>
      <c r="G215" s="2">
        <f t="shared" si="63"/>
        <v>0.46560000000000001</v>
      </c>
      <c r="H215" s="212">
        <f t="shared" si="64"/>
        <v>12.105600000000001</v>
      </c>
      <c r="I215" s="9">
        <f t="shared" si="65"/>
        <v>2.542176</v>
      </c>
      <c r="J215" s="213">
        <f t="shared" si="66"/>
        <v>14.647776</v>
      </c>
      <c r="L215" s="153">
        <f t="shared" si="67"/>
        <v>1.3968</v>
      </c>
      <c r="M215" s="212">
        <f t="shared" si="68"/>
        <v>13.036800000000001</v>
      </c>
      <c r="N215" s="9">
        <f t="shared" si="69"/>
        <v>2.7377280000000002</v>
      </c>
      <c r="O215" s="213">
        <f t="shared" si="70"/>
        <v>15.774528000000002</v>
      </c>
    </row>
    <row r="216" spans="1:15" x14ac:dyDescent="0.3">
      <c r="A216" s="207" t="s">
        <v>1032</v>
      </c>
      <c r="B216" s="208" t="s">
        <v>2166</v>
      </c>
      <c r="C216" s="209" t="s">
        <v>1655</v>
      </c>
      <c r="D216" s="210">
        <v>11.46</v>
      </c>
      <c r="E216" s="211">
        <v>0.04</v>
      </c>
      <c r="F216" s="444">
        <v>0.12</v>
      </c>
      <c r="G216" s="2">
        <f t="shared" si="63"/>
        <v>0.45840000000000003</v>
      </c>
      <c r="H216" s="212">
        <f t="shared" si="64"/>
        <v>11.9184</v>
      </c>
      <c r="I216" s="9">
        <f t="shared" si="65"/>
        <v>2.5028639999999998</v>
      </c>
      <c r="J216" s="213">
        <f t="shared" si="66"/>
        <v>14.421264000000001</v>
      </c>
      <c r="L216" s="153">
        <f t="shared" si="67"/>
        <v>1.3752</v>
      </c>
      <c r="M216" s="212">
        <f t="shared" si="68"/>
        <v>12.8352</v>
      </c>
      <c r="N216" s="9">
        <f t="shared" si="69"/>
        <v>2.695392</v>
      </c>
      <c r="O216" s="213">
        <f t="shared" si="70"/>
        <v>15.530592</v>
      </c>
    </row>
    <row r="217" spans="1:15" x14ac:dyDescent="0.3">
      <c r="A217" s="207" t="s">
        <v>1033</v>
      </c>
      <c r="B217" s="208" t="s">
        <v>2167</v>
      </c>
      <c r="C217" s="209" t="s">
        <v>1655</v>
      </c>
      <c r="D217" s="210">
        <v>11.28</v>
      </c>
      <c r="E217" s="211">
        <v>0.04</v>
      </c>
      <c r="F217" s="444">
        <v>0.12</v>
      </c>
      <c r="G217" s="2">
        <f t="shared" si="63"/>
        <v>0.45119999999999999</v>
      </c>
      <c r="H217" s="212">
        <f t="shared" si="64"/>
        <v>11.731199999999999</v>
      </c>
      <c r="I217" s="9">
        <f t="shared" si="65"/>
        <v>2.463552</v>
      </c>
      <c r="J217" s="213">
        <f t="shared" si="66"/>
        <v>14.194751999999999</v>
      </c>
      <c r="L217" s="153">
        <f t="shared" si="67"/>
        <v>1.3535999999999999</v>
      </c>
      <c r="M217" s="212">
        <f t="shared" si="68"/>
        <v>12.633599999999999</v>
      </c>
      <c r="N217" s="9">
        <f t="shared" si="69"/>
        <v>2.6530559999999999</v>
      </c>
      <c r="O217" s="213">
        <f t="shared" si="70"/>
        <v>15.286655999999999</v>
      </c>
    </row>
    <row r="218" spans="1:15" x14ac:dyDescent="0.3">
      <c r="A218" s="207" t="s">
        <v>1034</v>
      </c>
      <c r="B218" s="208" t="s">
        <v>2168</v>
      </c>
      <c r="C218" s="209" t="s">
        <v>1655</v>
      </c>
      <c r="D218" s="210">
        <v>11.1</v>
      </c>
      <c r="E218" s="211">
        <v>0.04</v>
      </c>
      <c r="F218" s="444">
        <v>0.12</v>
      </c>
      <c r="G218" s="2">
        <f t="shared" si="63"/>
        <v>0.44400000000000001</v>
      </c>
      <c r="H218" s="212">
        <f t="shared" si="64"/>
        <v>11.544</v>
      </c>
      <c r="I218" s="9">
        <f t="shared" si="65"/>
        <v>2.4242400000000002</v>
      </c>
      <c r="J218" s="213">
        <f t="shared" si="66"/>
        <v>13.968240000000002</v>
      </c>
      <c r="L218" s="153">
        <f t="shared" si="67"/>
        <v>1.3319999999999999</v>
      </c>
      <c r="M218" s="212">
        <f t="shared" si="68"/>
        <v>12.431999999999999</v>
      </c>
      <c r="N218" s="9">
        <f t="shared" si="69"/>
        <v>2.6107199999999997</v>
      </c>
      <c r="O218" s="213">
        <f t="shared" si="70"/>
        <v>15.042719999999999</v>
      </c>
    </row>
    <row r="219" spans="1:15" x14ac:dyDescent="0.3">
      <c r="A219" s="207" t="s">
        <v>1047</v>
      </c>
      <c r="B219" s="208" t="s">
        <v>2169</v>
      </c>
      <c r="C219" s="209" t="s">
        <v>1655</v>
      </c>
      <c r="D219" s="210">
        <v>10.92</v>
      </c>
      <c r="E219" s="211">
        <v>0.04</v>
      </c>
      <c r="F219" s="444">
        <v>0.12</v>
      </c>
      <c r="G219" s="2">
        <f t="shared" si="63"/>
        <v>0.43680000000000002</v>
      </c>
      <c r="H219" s="212">
        <f t="shared" si="64"/>
        <v>11.3568</v>
      </c>
      <c r="I219" s="9">
        <f t="shared" si="65"/>
        <v>2.3849279999999999</v>
      </c>
      <c r="J219" s="213">
        <f t="shared" si="66"/>
        <v>13.741728</v>
      </c>
      <c r="L219" s="153">
        <f t="shared" si="67"/>
        <v>1.3104</v>
      </c>
      <c r="M219" s="212">
        <f t="shared" si="68"/>
        <v>12.230399999999999</v>
      </c>
      <c r="N219" s="9">
        <f t="shared" si="69"/>
        <v>2.568384</v>
      </c>
      <c r="O219" s="213">
        <f t="shared" si="70"/>
        <v>14.798783999999999</v>
      </c>
    </row>
    <row r="220" spans="1:15" x14ac:dyDescent="0.3">
      <c r="A220" s="207" t="s">
        <v>1287</v>
      </c>
      <c r="B220" s="208" t="s">
        <v>2170</v>
      </c>
      <c r="C220" s="209" t="s">
        <v>1655</v>
      </c>
      <c r="D220" s="210">
        <v>10.74</v>
      </c>
      <c r="E220" s="211">
        <v>0.04</v>
      </c>
      <c r="F220" s="444">
        <v>0.12</v>
      </c>
      <c r="G220" s="2">
        <f t="shared" si="63"/>
        <v>0.42960000000000004</v>
      </c>
      <c r="H220" s="212">
        <f t="shared" si="64"/>
        <v>11.169600000000001</v>
      </c>
      <c r="I220" s="9">
        <f t="shared" si="65"/>
        <v>2.3456160000000001</v>
      </c>
      <c r="J220" s="213">
        <f t="shared" si="66"/>
        <v>13.515216000000001</v>
      </c>
      <c r="L220" s="153">
        <f t="shared" si="67"/>
        <v>1.2887999999999999</v>
      </c>
      <c r="M220" s="212">
        <f t="shared" si="68"/>
        <v>12.0288</v>
      </c>
      <c r="N220" s="9">
        <f t="shared" si="69"/>
        <v>2.5260479999999998</v>
      </c>
      <c r="O220" s="213">
        <f t="shared" si="70"/>
        <v>14.554848</v>
      </c>
    </row>
    <row r="221" spans="1:15" x14ac:dyDescent="0.3">
      <c r="A221" s="207" t="s">
        <v>2171</v>
      </c>
      <c r="B221" s="208" t="s">
        <v>2172</v>
      </c>
      <c r="C221" s="209" t="s">
        <v>1655</v>
      </c>
      <c r="D221" s="210">
        <v>10.56</v>
      </c>
      <c r="E221" s="211">
        <v>0.04</v>
      </c>
      <c r="F221" s="444">
        <v>0.12</v>
      </c>
      <c r="G221" s="2">
        <f t="shared" si="63"/>
        <v>0.42240000000000005</v>
      </c>
      <c r="H221" s="212">
        <f t="shared" si="64"/>
        <v>10.9824</v>
      </c>
      <c r="I221" s="9">
        <f t="shared" si="65"/>
        <v>2.3063039999999999</v>
      </c>
      <c r="J221" s="213">
        <f t="shared" si="66"/>
        <v>13.288703999999999</v>
      </c>
      <c r="L221" s="153">
        <f t="shared" si="67"/>
        <v>1.2672000000000001</v>
      </c>
      <c r="M221" s="212">
        <f t="shared" si="68"/>
        <v>11.827200000000001</v>
      </c>
      <c r="N221" s="9">
        <f t="shared" si="69"/>
        <v>2.4837120000000001</v>
      </c>
      <c r="O221" s="213">
        <f t="shared" si="70"/>
        <v>14.310912000000002</v>
      </c>
    </row>
    <row r="222" spans="1:15" x14ac:dyDescent="0.3">
      <c r="A222" s="207" t="s">
        <v>2173</v>
      </c>
      <c r="B222" s="208" t="s">
        <v>2174</v>
      </c>
      <c r="C222" s="209" t="s">
        <v>1655</v>
      </c>
      <c r="D222" s="210">
        <v>10.38</v>
      </c>
      <c r="E222" s="211">
        <v>0.04</v>
      </c>
      <c r="F222" s="444">
        <v>0.12</v>
      </c>
      <c r="G222" s="2">
        <f t="shared" si="63"/>
        <v>0.41520000000000001</v>
      </c>
      <c r="H222" s="212">
        <f t="shared" si="64"/>
        <v>10.795200000000001</v>
      </c>
      <c r="I222" s="9">
        <f t="shared" si="65"/>
        <v>2.2669920000000001</v>
      </c>
      <c r="J222" s="213">
        <f t="shared" si="66"/>
        <v>13.062192000000001</v>
      </c>
      <c r="L222" s="153">
        <f t="shared" si="67"/>
        <v>1.2456</v>
      </c>
      <c r="M222" s="212">
        <f t="shared" si="68"/>
        <v>11.6256</v>
      </c>
      <c r="N222" s="9">
        <f t="shared" si="69"/>
        <v>2.441376</v>
      </c>
      <c r="O222" s="213">
        <f t="shared" si="70"/>
        <v>14.066976</v>
      </c>
    </row>
    <row r="223" spans="1:15" x14ac:dyDescent="0.3">
      <c r="A223" s="207" t="s">
        <v>2175</v>
      </c>
      <c r="B223" s="208" t="s">
        <v>2176</v>
      </c>
      <c r="C223" s="209" t="s">
        <v>1655</v>
      </c>
      <c r="D223" s="210">
        <v>10.199999999999999</v>
      </c>
      <c r="E223" s="211">
        <v>0.04</v>
      </c>
      <c r="F223" s="444">
        <v>0.12</v>
      </c>
      <c r="G223" s="2">
        <f t="shared" si="63"/>
        <v>0.40799999999999997</v>
      </c>
      <c r="H223" s="212">
        <f t="shared" si="64"/>
        <v>10.607999999999999</v>
      </c>
      <c r="I223" s="9">
        <f t="shared" si="65"/>
        <v>2.2276799999999994</v>
      </c>
      <c r="J223" s="213">
        <f t="shared" si="66"/>
        <v>12.835679999999998</v>
      </c>
      <c r="L223" s="153">
        <f t="shared" si="67"/>
        <v>1.224</v>
      </c>
      <c r="M223" s="212">
        <f t="shared" si="68"/>
        <v>11.423999999999999</v>
      </c>
      <c r="N223" s="9">
        <f t="shared" si="69"/>
        <v>2.3990399999999998</v>
      </c>
      <c r="O223" s="213">
        <f t="shared" si="70"/>
        <v>13.823039999999999</v>
      </c>
    </row>
    <row r="224" spans="1:15" x14ac:dyDescent="0.3">
      <c r="A224" s="207" t="s">
        <v>2177</v>
      </c>
      <c r="B224" s="208" t="s">
        <v>2178</v>
      </c>
      <c r="C224" s="209" t="s">
        <v>1655</v>
      </c>
      <c r="D224" s="210">
        <v>10.02</v>
      </c>
      <c r="E224" s="211">
        <v>0.04</v>
      </c>
      <c r="F224" s="444">
        <v>0.12</v>
      </c>
      <c r="G224" s="2">
        <f t="shared" si="63"/>
        <v>0.40079999999999999</v>
      </c>
      <c r="H224" s="212">
        <f t="shared" si="64"/>
        <v>10.4208</v>
      </c>
      <c r="I224" s="9">
        <f t="shared" si="65"/>
        <v>2.1883680000000001</v>
      </c>
      <c r="J224" s="213">
        <f t="shared" si="66"/>
        <v>12.609168</v>
      </c>
      <c r="L224" s="153">
        <f t="shared" si="67"/>
        <v>1.2023999999999999</v>
      </c>
      <c r="M224" s="212">
        <f t="shared" si="68"/>
        <v>11.2224</v>
      </c>
      <c r="N224" s="9">
        <f t="shared" si="69"/>
        <v>2.3567040000000001</v>
      </c>
      <c r="O224" s="213">
        <f t="shared" si="70"/>
        <v>13.579104000000001</v>
      </c>
    </row>
    <row r="225" spans="1:15" x14ac:dyDescent="0.3">
      <c r="A225" s="207" t="s">
        <v>2179</v>
      </c>
      <c r="B225" s="208" t="s">
        <v>2180</v>
      </c>
      <c r="C225" s="209" t="s">
        <v>1655</v>
      </c>
      <c r="D225" s="210">
        <v>9.84</v>
      </c>
      <c r="E225" s="211">
        <v>0.04</v>
      </c>
      <c r="F225" s="444">
        <v>0.12</v>
      </c>
      <c r="G225" s="2">
        <f t="shared" si="63"/>
        <v>0.39360000000000001</v>
      </c>
      <c r="H225" s="212">
        <f t="shared" si="64"/>
        <v>10.233599999999999</v>
      </c>
      <c r="I225" s="9">
        <f t="shared" si="65"/>
        <v>2.1490559999999999</v>
      </c>
      <c r="J225" s="213">
        <f t="shared" si="66"/>
        <v>12.382655999999999</v>
      </c>
      <c r="L225" s="153">
        <f t="shared" si="67"/>
        <v>1.1807999999999998</v>
      </c>
      <c r="M225" s="212">
        <f t="shared" si="68"/>
        <v>11.020799999999999</v>
      </c>
      <c r="N225" s="9">
        <f t="shared" si="69"/>
        <v>2.314368</v>
      </c>
      <c r="O225" s="213">
        <f t="shared" si="70"/>
        <v>13.335167999999999</v>
      </c>
    </row>
    <row r="226" spans="1:15" x14ac:dyDescent="0.3">
      <c r="A226" s="207" t="s">
        <v>2181</v>
      </c>
      <c r="B226" s="208" t="s">
        <v>2182</v>
      </c>
      <c r="C226" s="209" t="s">
        <v>1655</v>
      </c>
      <c r="D226" s="210">
        <v>9.66</v>
      </c>
      <c r="E226" s="211">
        <v>0.04</v>
      </c>
      <c r="F226" s="444">
        <v>0.12</v>
      </c>
      <c r="G226" s="2">
        <f t="shared" si="63"/>
        <v>0.38640000000000002</v>
      </c>
      <c r="H226" s="212">
        <f t="shared" si="64"/>
        <v>10.0464</v>
      </c>
      <c r="I226" s="9">
        <f t="shared" si="65"/>
        <v>2.1097440000000001</v>
      </c>
      <c r="J226" s="213">
        <f t="shared" si="66"/>
        <v>12.156144000000001</v>
      </c>
      <c r="L226" s="153">
        <f t="shared" si="67"/>
        <v>1.1592</v>
      </c>
      <c r="M226" s="212">
        <f t="shared" si="68"/>
        <v>10.8192</v>
      </c>
      <c r="N226" s="9">
        <f t="shared" si="69"/>
        <v>2.2720319999999998</v>
      </c>
      <c r="O226" s="213">
        <f t="shared" si="70"/>
        <v>13.091232</v>
      </c>
    </row>
    <row r="227" spans="1:15" x14ac:dyDescent="0.3">
      <c r="A227" s="207" t="s">
        <v>2183</v>
      </c>
      <c r="B227" s="208" t="s">
        <v>2184</v>
      </c>
      <c r="C227" s="209" t="s">
        <v>1655</v>
      </c>
      <c r="D227" s="210">
        <v>9.48</v>
      </c>
      <c r="E227" s="211">
        <v>0.04</v>
      </c>
      <c r="F227" s="444">
        <v>0.12</v>
      </c>
      <c r="G227" s="2">
        <f t="shared" si="63"/>
        <v>0.37920000000000004</v>
      </c>
      <c r="H227" s="212">
        <f t="shared" si="64"/>
        <v>9.8592000000000013</v>
      </c>
      <c r="I227" s="9">
        <f t="shared" si="65"/>
        <v>2.0704320000000003</v>
      </c>
      <c r="J227" s="213">
        <f t="shared" si="66"/>
        <v>11.929632000000002</v>
      </c>
      <c r="L227" s="153">
        <f t="shared" si="67"/>
        <v>1.1375999999999999</v>
      </c>
      <c r="M227" s="212">
        <f t="shared" si="68"/>
        <v>10.617599999999999</v>
      </c>
      <c r="N227" s="9">
        <f t="shared" si="69"/>
        <v>2.2296959999999997</v>
      </c>
      <c r="O227" s="213">
        <f t="shared" si="70"/>
        <v>12.847296</v>
      </c>
    </row>
    <row r="228" spans="1:15" x14ac:dyDescent="0.3">
      <c r="A228" s="207" t="s">
        <v>2185</v>
      </c>
      <c r="B228" s="208" t="s">
        <v>2186</v>
      </c>
      <c r="C228" s="209" t="s">
        <v>1655</v>
      </c>
      <c r="D228" s="210">
        <v>9.3000000000000096</v>
      </c>
      <c r="E228" s="211">
        <v>0.04</v>
      </c>
      <c r="F228" s="444">
        <v>0.12</v>
      </c>
      <c r="G228" s="2">
        <f t="shared" si="63"/>
        <v>0.37200000000000039</v>
      </c>
      <c r="H228" s="212">
        <f t="shared" si="64"/>
        <v>9.6720000000000095</v>
      </c>
      <c r="I228" s="9">
        <f t="shared" si="65"/>
        <v>2.0311200000000018</v>
      </c>
      <c r="J228" s="213">
        <f t="shared" si="66"/>
        <v>11.703120000000011</v>
      </c>
      <c r="L228" s="153">
        <f t="shared" si="67"/>
        <v>1.1160000000000012</v>
      </c>
      <c r="M228" s="212">
        <f t="shared" si="68"/>
        <v>10.416000000000011</v>
      </c>
      <c r="N228" s="9">
        <f t="shared" si="69"/>
        <v>2.1873600000000022</v>
      </c>
      <c r="O228" s="213">
        <f t="shared" si="70"/>
        <v>12.603360000000013</v>
      </c>
    </row>
    <row r="229" spans="1:15" x14ac:dyDescent="0.3">
      <c r="A229" s="207" t="s">
        <v>2187</v>
      </c>
      <c r="B229" s="208" t="s">
        <v>2188</v>
      </c>
      <c r="C229" s="209" t="s">
        <v>1655</v>
      </c>
      <c r="D229" s="210">
        <v>9.1200000000000099</v>
      </c>
      <c r="E229" s="211">
        <v>0.04</v>
      </c>
      <c r="F229" s="444">
        <v>0.12</v>
      </c>
      <c r="G229" s="2">
        <f t="shared" si="63"/>
        <v>0.3648000000000004</v>
      </c>
      <c r="H229" s="212">
        <f t="shared" si="64"/>
        <v>9.4848000000000106</v>
      </c>
      <c r="I229" s="9">
        <f t="shared" si="65"/>
        <v>1.9918080000000022</v>
      </c>
      <c r="J229" s="213">
        <f t="shared" si="66"/>
        <v>11.476608000000013</v>
      </c>
      <c r="L229" s="153">
        <f t="shared" si="67"/>
        <v>1.0944000000000011</v>
      </c>
      <c r="M229" s="212">
        <f t="shared" si="68"/>
        <v>10.214400000000012</v>
      </c>
      <c r="N229" s="9">
        <f t="shared" si="69"/>
        <v>2.1450240000000025</v>
      </c>
      <c r="O229" s="213">
        <f t="shared" si="70"/>
        <v>12.359424000000015</v>
      </c>
    </row>
    <row r="231" spans="1:15" x14ac:dyDescent="0.3">
      <c r="A231" s="216" t="s">
        <v>154</v>
      </c>
      <c r="B231" s="217" t="s">
        <v>2189</v>
      </c>
      <c r="C231" s="218" t="s">
        <v>1655</v>
      </c>
      <c r="D231" s="219">
        <v>0.53</v>
      </c>
      <c r="E231" s="220">
        <v>0.15</v>
      </c>
      <c r="F231" s="221">
        <v>0.18</v>
      </c>
      <c r="G231" s="2">
        <f t="shared" ref="G231:G238" si="71">D231*E231</f>
        <v>7.9500000000000001E-2</v>
      </c>
      <c r="H231" s="222">
        <f t="shared" ref="H231:H238" si="72">G231+D231</f>
        <v>0.60950000000000004</v>
      </c>
      <c r="I231" s="9">
        <f t="shared" ref="I231:I238" si="73">H231*0.21</f>
        <v>0.127995</v>
      </c>
      <c r="J231" s="223">
        <f t="shared" ref="J231:J238" si="74">H231+I231</f>
        <v>0.73749500000000001</v>
      </c>
      <c r="L231" s="153">
        <f t="shared" ref="L231:L238" si="75">D231*F231</f>
        <v>9.5399999999999999E-2</v>
      </c>
      <c r="M231" s="222">
        <f t="shared" ref="M231:M238" si="76">D231+L231</f>
        <v>0.62540000000000007</v>
      </c>
      <c r="N231" s="9">
        <f t="shared" ref="N231:N238" si="77">M231*0.21</f>
        <v>0.13133400000000001</v>
      </c>
      <c r="O231" s="223">
        <f t="shared" ref="O231:O238" si="78">M231+N231</f>
        <v>0.75673400000000002</v>
      </c>
    </row>
    <row r="232" spans="1:15" x14ac:dyDescent="0.3">
      <c r="A232" s="216" t="s">
        <v>155</v>
      </c>
      <c r="B232" s="217" t="s">
        <v>2190</v>
      </c>
      <c r="C232" s="218" t="s">
        <v>1655</v>
      </c>
      <c r="D232" s="219">
        <v>0.76</v>
      </c>
      <c r="E232" s="220">
        <v>0.2</v>
      </c>
      <c r="F232" s="221">
        <v>0.24</v>
      </c>
      <c r="G232" s="2">
        <f t="shared" si="71"/>
        <v>0.15200000000000002</v>
      </c>
      <c r="H232" s="222">
        <f t="shared" si="72"/>
        <v>0.91200000000000003</v>
      </c>
      <c r="I232" s="9">
        <f t="shared" si="73"/>
        <v>0.19152</v>
      </c>
      <c r="J232" s="223">
        <f t="shared" si="74"/>
        <v>1.1035200000000001</v>
      </c>
      <c r="L232" s="153">
        <f t="shared" si="75"/>
        <v>0.18240000000000001</v>
      </c>
      <c r="M232" s="222">
        <f t="shared" si="76"/>
        <v>0.94240000000000002</v>
      </c>
      <c r="N232" s="9">
        <f t="shared" si="77"/>
        <v>0.197904</v>
      </c>
      <c r="O232" s="223">
        <f t="shared" si="78"/>
        <v>1.140304</v>
      </c>
    </row>
    <row r="233" spans="1:15" x14ac:dyDescent="0.3">
      <c r="A233" s="216" t="s">
        <v>156</v>
      </c>
      <c r="B233" s="217" t="s">
        <v>2191</v>
      </c>
      <c r="C233" s="218" t="s">
        <v>1655</v>
      </c>
      <c r="D233" s="219">
        <v>0.99</v>
      </c>
      <c r="E233" s="220">
        <v>0.25</v>
      </c>
      <c r="F233" s="221">
        <v>0.3</v>
      </c>
      <c r="G233" s="2">
        <f t="shared" si="71"/>
        <v>0.2475</v>
      </c>
      <c r="H233" s="222">
        <f t="shared" si="72"/>
        <v>1.2375</v>
      </c>
      <c r="I233" s="9">
        <f t="shared" si="73"/>
        <v>0.25987500000000002</v>
      </c>
      <c r="J233" s="223">
        <f t="shared" si="74"/>
        <v>1.4973750000000001</v>
      </c>
      <c r="L233" s="153">
        <f t="shared" si="75"/>
        <v>0.29699999999999999</v>
      </c>
      <c r="M233" s="222">
        <f t="shared" si="76"/>
        <v>1.2869999999999999</v>
      </c>
      <c r="N233" s="9">
        <f t="shared" si="77"/>
        <v>0.27026999999999995</v>
      </c>
      <c r="O233" s="223">
        <f t="shared" si="78"/>
        <v>1.5572699999999999</v>
      </c>
    </row>
    <row r="234" spans="1:15" x14ac:dyDescent="0.3">
      <c r="A234" s="216" t="s">
        <v>1634</v>
      </c>
      <c r="B234" s="217" t="s">
        <v>2192</v>
      </c>
      <c r="C234" s="218" t="s">
        <v>1655</v>
      </c>
      <c r="D234" s="219">
        <v>1.22</v>
      </c>
      <c r="E234" s="220">
        <v>0.3</v>
      </c>
      <c r="F234" s="221">
        <v>0.36</v>
      </c>
      <c r="G234" s="2">
        <f t="shared" si="71"/>
        <v>0.36599999999999999</v>
      </c>
      <c r="H234" s="222">
        <f t="shared" si="72"/>
        <v>1.5859999999999999</v>
      </c>
      <c r="I234" s="9">
        <f t="shared" si="73"/>
        <v>0.33305999999999997</v>
      </c>
      <c r="J234" s="223">
        <f t="shared" si="74"/>
        <v>1.9190599999999998</v>
      </c>
      <c r="L234" s="153">
        <f t="shared" si="75"/>
        <v>0.43919999999999998</v>
      </c>
      <c r="M234" s="222">
        <f t="shared" si="76"/>
        <v>1.6592</v>
      </c>
      <c r="N234" s="9">
        <f t="shared" si="77"/>
        <v>0.34843199999999996</v>
      </c>
      <c r="O234" s="223">
        <f t="shared" si="78"/>
        <v>2.0076320000000001</v>
      </c>
    </row>
    <row r="235" spans="1:15" x14ac:dyDescent="0.3">
      <c r="A235" s="216" t="s">
        <v>1648</v>
      </c>
      <c r="B235" s="217" t="s">
        <v>2193</v>
      </c>
      <c r="C235" s="218" t="s">
        <v>1655</v>
      </c>
      <c r="D235" s="219">
        <v>1.45</v>
      </c>
      <c r="E235" s="220">
        <v>0.35</v>
      </c>
      <c r="F235" s="221">
        <v>0.42</v>
      </c>
      <c r="G235" s="2">
        <f t="shared" si="71"/>
        <v>0.50749999999999995</v>
      </c>
      <c r="H235" s="222">
        <f t="shared" si="72"/>
        <v>1.9575</v>
      </c>
      <c r="I235" s="9">
        <f t="shared" si="73"/>
        <v>0.41107499999999997</v>
      </c>
      <c r="J235" s="223">
        <f t="shared" si="74"/>
        <v>2.3685749999999999</v>
      </c>
      <c r="L235" s="153">
        <f t="shared" si="75"/>
        <v>0.60899999999999999</v>
      </c>
      <c r="M235" s="222">
        <f t="shared" si="76"/>
        <v>2.0590000000000002</v>
      </c>
      <c r="N235" s="9">
        <f t="shared" si="77"/>
        <v>0.43239</v>
      </c>
      <c r="O235" s="223">
        <f t="shared" si="78"/>
        <v>2.49139</v>
      </c>
    </row>
    <row r="236" spans="1:15" x14ac:dyDescent="0.3">
      <c r="A236" s="216" t="s">
        <v>1649</v>
      </c>
      <c r="B236" s="217" t="s">
        <v>2194</v>
      </c>
      <c r="C236" s="218" t="s">
        <v>1655</v>
      </c>
      <c r="D236" s="219">
        <v>1.68</v>
      </c>
      <c r="E236" s="220">
        <v>0.4</v>
      </c>
      <c r="F236" s="221">
        <v>0.48</v>
      </c>
      <c r="G236" s="2">
        <f t="shared" si="71"/>
        <v>0.67200000000000004</v>
      </c>
      <c r="H236" s="222">
        <f t="shared" si="72"/>
        <v>2.3519999999999999</v>
      </c>
      <c r="I236" s="9">
        <f t="shared" si="73"/>
        <v>0.49391999999999997</v>
      </c>
      <c r="J236" s="223">
        <f t="shared" si="74"/>
        <v>2.84592</v>
      </c>
      <c r="L236" s="153">
        <f t="shared" si="75"/>
        <v>0.80639999999999989</v>
      </c>
      <c r="M236" s="222">
        <f t="shared" si="76"/>
        <v>2.4863999999999997</v>
      </c>
      <c r="N236" s="9">
        <f t="shared" si="77"/>
        <v>0.52214399999999994</v>
      </c>
      <c r="O236" s="223">
        <f t="shared" si="78"/>
        <v>3.0085439999999997</v>
      </c>
    </row>
    <row r="237" spans="1:15" x14ac:dyDescent="0.3">
      <c r="A237" s="216" t="s">
        <v>2195</v>
      </c>
      <c r="B237" s="217" t="s">
        <v>2196</v>
      </c>
      <c r="C237" s="218" t="s">
        <v>1655</v>
      </c>
      <c r="D237" s="219">
        <v>1.91</v>
      </c>
      <c r="E237" s="220">
        <v>0.45</v>
      </c>
      <c r="F237" s="221">
        <v>0.54</v>
      </c>
      <c r="G237" s="2">
        <f t="shared" si="71"/>
        <v>0.85949999999999993</v>
      </c>
      <c r="H237" s="222">
        <f t="shared" si="72"/>
        <v>2.7694999999999999</v>
      </c>
      <c r="I237" s="9">
        <f t="shared" si="73"/>
        <v>0.58159499999999997</v>
      </c>
      <c r="J237" s="223">
        <f t="shared" si="74"/>
        <v>3.3510949999999999</v>
      </c>
      <c r="L237" s="153">
        <f t="shared" si="75"/>
        <v>1.0314000000000001</v>
      </c>
      <c r="M237" s="222">
        <f t="shared" si="76"/>
        <v>2.9413999999999998</v>
      </c>
      <c r="N237" s="9">
        <f t="shared" si="77"/>
        <v>0.61769399999999997</v>
      </c>
      <c r="O237" s="223">
        <f t="shared" si="78"/>
        <v>3.559094</v>
      </c>
    </row>
    <row r="238" spans="1:15" x14ac:dyDescent="0.3">
      <c r="A238" s="216" t="s">
        <v>2197</v>
      </c>
      <c r="B238" s="217" t="s">
        <v>2198</v>
      </c>
      <c r="C238" s="218" t="s">
        <v>1655</v>
      </c>
      <c r="D238" s="219">
        <v>2.14</v>
      </c>
      <c r="E238" s="220">
        <v>0.5</v>
      </c>
      <c r="F238" s="221">
        <v>0.6</v>
      </c>
      <c r="G238" s="2">
        <f t="shared" si="71"/>
        <v>1.07</v>
      </c>
      <c r="H238" s="222">
        <f t="shared" si="72"/>
        <v>3.21</v>
      </c>
      <c r="I238" s="9">
        <f t="shared" si="73"/>
        <v>0.67409999999999992</v>
      </c>
      <c r="J238" s="223">
        <f t="shared" si="74"/>
        <v>3.8841000000000001</v>
      </c>
      <c r="L238" s="153">
        <f t="shared" si="75"/>
        <v>1.284</v>
      </c>
      <c r="M238" s="222">
        <f t="shared" si="76"/>
        <v>3.4240000000000004</v>
      </c>
      <c r="N238" s="9">
        <f t="shared" si="77"/>
        <v>0.71904000000000001</v>
      </c>
      <c r="O238" s="223">
        <f t="shared" si="78"/>
        <v>4.1430400000000001</v>
      </c>
    </row>
    <row r="240" spans="1:15" x14ac:dyDescent="0.3">
      <c r="A240" s="233" t="s">
        <v>229</v>
      </c>
      <c r="B240" s="234" t="s">
        <v>2199</v>
      </c>
      <c r="C240" s="235" t="s">
        <v>1655</v>
      </c>
      <c r="D240" s="236">
        <v>42.2</v>
      </c>
      <c r="E240" s="237">
        <v>1.1000000000000001</v>
      </c>
      <c r="F240" s="445">
        <v>0.85</v>
      </c>
      <c r="G240" s="2">
        <f t="shared" ref="G240:G251" si="79">D240*E240</f>
        <v>46.420000000000009</v>
      </c>
      <c r="H240" s="238">
        <f t="shared" ref="H240:H251" si="80">G240+D240</f>
        <v>88.62</v>
      </c>
      <c r="I240" s="9">
        <f t="shared" ref="I240:I251" si="81">H240*0.21</f>
        <v>18.610199999999999</v>
      </c>
      <c r="J240" s="239">
        <f t="shared" ref="J240:J251" si="82">H240+I240</f>
        <v>107.2302</v>
      </c>
      <c r="L240" s="153">
        <f t="shared" ref="L240:L251" si="83">D240*F240</f>
        <v>35.870000000000005</v>
      </c>
      <c r="M240" s="238">
        <f t="shared" ref="M240:M251" si="84">D240+L240</f>
        <v>78.070000000000007</v>
      </c>
      <c r="N240" s="9">
        <f t="shared" ref="N240:N251" si="85">M240*0.21</f>
        <v>16.3947</v>
      </c>
      <c r="O240" s="239">
        <f t="shared" ref="O240:O251" si="86">M240+N240</f>
        <v>94.464700000000008</v>
      </c>
    </row>
    <row r="241" spans="1:15" x14ac:dyDescent="0.3">
      <c r="A241" s="233" t="s">
        <v>365</v>
      </c>
      <c r="B241" s="234" t="s">
        <v>2200</v>
      </c>
      <c r="C241" s="235" t="s">
        <v>1655</v>
      </c>
      <c r="D241" s="236">
        <v>45.3</v>
      </c>
      <c r="E241" s="237">
        <v>1.1000000000000001</v>
      </c>
      <c r="F241" s="445">
        <v>0.85</v>
      </c>
      <c r="G241" s="2">
        <f t="shared" si="79"/>
        <v>49.83</v>
      </c>
      <c r="H241" s="238">
        <f t="shared" si="80"/>
        <v>95.13</v>
      </c>
      <c r="I241" s="9">
        <f t="shared" si="81"/>
        <v>19.9773</v>
      </c>
      <c r="J241" s="239">
        <f t="shared" si="82"/>
        <v>115.1073</v>
      </c>
      <c r="L241" s="153">
        <f t="shared" si="83"/>
        <v>38.504999999999995</v>
      </c>
      <c r="M241" s="238">
        <f t="shared" si="84"/>
        <v>83.804999999999993</v>
      </c>
      <c r="N241" s="9">
        <f t="shared" si="85"/>
        <v>17.599049999999998</v>
      </c>
      <c r="O241" s="239">
        <f t="shared" si="86"/>
        <v>101.40404999999998</v>
      </c>
    </row>
    <row r="242" spans="1:15" x14ac:dyDescent="0.3">
      <c r="A242" s="233" t="s">
        <v>393</v>
      </c>
      <c r="B242" s="234" t="s">
        <v>2201</v>
      </c>
      <c r="C242" s="235" t="s">
        <v>1655</v>
      </c>
      <c r="D242" s="236">
        <v>48.4</v>
      </c>
      <c r="E242" s="237">
        <v>1.1000000000000001</v>
      </c>
      <c r="F242" s="445">
        <v>0.85</v>
      </c>
      <c r="G242" s="2">
        <f t="shared" si="79"/>
        <v>53.24</v>
      </c>
      <c r="H242" s="238">
        <f t="shared" si="80"/>
        <v>101.64</v>
      </c>
      <c r="I242" s="9">
        <f t="shared" si="81"/>
        <v>21.3444</v>
      </c>
      <c r="J242" s="239">
        <f t="shared" si="82"/>
        <v>122.98439999999999</v>
      </c>
      <c r="L242" s="153">
        <f t="shared" si="83"/>
        <v>41.14</v>
      </c>
      <c r="M242" s="238">
        <f t="shared" si="84"/>
        <v>89.539999999999992</v>
      </c>
      <c r="N242" s="9">
        <f t="shared" si="85"/>
        <v>18.803399999999996</v>
      </c>
      <c r="O242" s="239">
        <f t="shared" si="86"/>
        <v>108.34339999999999</v>
      </c>
    </row>
    <row r="243" spans="1:15" x14ac:dyDescent="0.3">
      <c r="A243" s="233" t="s">
        <v>642</v>
      </c>
      <c r="B243" s="234" t="s">
        <v>2202</v>
      </c>
      <c r="C243" s="235" t="s">
        <v>1655</v>
      </c>
      <c r="D243" s="236">
        <v>51.5</v>
      </c>
      <c r="E243" s="237">
        <v>1.1000000000000001</v>
      </c>
      <c r="F243" s="445">
        <v>0.85</v>
      </c>
      <c r="G243" s="2">
        <f t="shared" si="79"/>
        <v>56.650000000000006</v>
      </c>
      <c r="H243" s="238">
        <f t="shared" si="80"/>
        <v>108.15</v>
      </c>
      <c r="I243" s="9">
        <f t="shared" si="81"/>
        <v>22.711500000000001</v>
      </c>
      <c r="J243" s="239">
        <f t="shared" si="82"/>
        <v>130.86150000000001</v>
      </c>
      <c r="L243" s="153">
        <f t="shared" si="83"/>
        <v>43.774999999999999</v>
      </c>
      <c r="M243" s="238">
        <f t="shared" si="84"/>
        <v>95.275000000000006</v>
      </c>
      <c r="N243" s="9">
        <f t="shared" si="85"/>
        <v>20.007750000000001</v>
      </c>
      <c r="O243" s="239">
        <f t="shared" si="86"/>
        <v>115.28275000000001</v>
      </c>
    </row>
    <row r="244" spans="1:15" x14ac:dyDescent="0.3">
      <c r="A244" s="233" t="s">
        <v>644</v>
      </c>
      <c r="B244" s="234" t="s">
        <v>2203</v>
      </c>
      <c r="C244" s="235" t="s">
        <v>1655</v>
      </c>
      <c r="D244" s="236">
        <v>54.6</v>
      </c>
      <c r="E244" s="237">
        <v>1.1000000000000001</v>
      </c>
      <c r="F244" s="445">
        <v>0.85</v>
      </c>
      <c r="G244" s="2">
        <f t="shared" si="79"/>
        <v>60.060000000000009</v>
      </c>
      <c r="H244" s="238">
        <f t="shared" si="80"/>
        <v>114.66000000000001</v>
      </c>
      <c r="I244" s="9">
        <f t="shared" si="81"/>
        <v>24.078600000000002</v>
      </c>
      <c r="J244" s="239">
        <f t="shared" si="82"/>
        <v>138.73860000000002</v>
      </c>
      <c r="L244" s="153">
        <f t="shared" si="83"/>
        <v>46.41</v>
      </c>
      <c r="M244" s="238">
        <f t="shared" si="84"/>
        <v>101.00999999999999</v>
      </c>
      <c r="N244" s="9">
        <f t="shared" si="85"/>
        <v>21.212099999999996</v>
      </c>
      <c r="O244" s="239">
        <f t="shared" si="86"/>
        <v>122.22209999999998</v>
      </c>
    </row>
    <row r="245" spans="1:15" x14ac:dyDescent="0.3">
      <c r="A245" s="233" t="s">
        <v>645</v>
      </c>
      <c r="B245" s="234" t="s">
        <v>2204</v>
      </c>
      <c r="C245" s="235" t="s">
        <v>1655</v>
      </c>
      <c r="D245" s="236">
        <v>57.7</v>
      </c>
      <c r="E245" s="237">
        <v>1.1000000000000001</v>
      </c>
      <c r="F245" s="445">
        <v>0.85</v>
      </c>
      <c r="G245" s="2">
        <f t="shared" si="79"/>
        <v>63.470000000000006</v>
      </c>
      <c r="H245" s="238">
        <f t="shared" si="80"/>
        <v>121.17000000000002</v>
      </c>
      <c r="I245" s="9">
        <f t="shared" si="81"/>
        <v>25.445700000000002</v>
      </c>
      <c r="J245" s="239">
        <f t="shared" si="82"/>
        <v>146.6157</v>
      </c>
      <c r="L245" s="153">
        <f t="shared" si="83"/>
        <v>49.045000000000002</v>
      </c>
      <c r="M245" s="238">
        <f t="shared" si="84"/>
        <v>106.745</v>
      </c>
      <c r="N245" s="9">
        <f t="shared" si="85"/>
        <v>22.416450000000001</v>
      </c>
      <c r="O245" s="239">
        <f t="shared" si="86"/>
        <v>129.16145</v>
      </c>
    </row>
    <row r="246" spans="1:15" x14ac:dyDescent="0.3">
      <c r="A246" s="233" t="s">
        <v>747</v>
      </c>
      <c r="B246" s="234" t="s">
        <v>357</v>
      </c>
      <c r="C246" s="235" t="s">
        <v>1655</v>
      </c>
      <c r="D246" s="236">
        <v>60.8</v>
      </c>
      <c r="E246" s="237">
        <v>1.1000000000000001</v>
      </c>
      <c r="F246" s="445">
        <v>0.85</v>
      </c>
      <c r="G246" s="2">
        <f t="shared" si="79"/>
        <v>66.88</v>
      </c>
      <c r="H246" s="238">
        <f t="shared" si="80"/>
        <v>127.67999999999999</v>
      </c>
      <c r="I246" s="9">
        <f t="shared" si="81"/>
        <v>26.812799999999996</v>
      </c>
      <c r="J246" s="239">
        <f t="shared" si="82"/>
        <v>154.49279999999999</v>
      </c>
      <c r="L246" s="153">
        <f t="shared" si="83"/>
        <v>51.68</v>
      </c>
      <c r="M246" s="238">
        <f t="shared" si="84"/>
        <v>112.47999999999999</v>
      </c>
      <c r="N246" s="9">
        <f t="shared" si="85"/>
        <v>23.620799999999996</v>
      </c>
      <c r="O246" s="239">
        <f t="shared" si="86"/>
        <v>136.10079999999999</v>
      </c>
    </row>
    <row r="247" spans="1:15" x14ac:dyDescent="0.3">
      <c r="A247" s="233" t="s">
        <v>880</v>
      </c>
      <c r="B247" s="234" t="s">
        <v>2205</v>
      </c>
      <c r="C247" s="235" t="s">
        <v>1655</v>
      </c>
      <c r="D247" s="236">
        <v>63.9</v>
      </c>
      <c r="E247" s="237">
        <v>1.1000000000000001</v>
      </c>
      <c r="F247" s="445">
        <v>0.85</v>
      </c>
      <c r="G247" s="2">
        <f t="shared" si="79"/>
        <v>70.290000000000006</v>
      </c>
      <c r="H247" s="238">
        <f t="shared" si="80"/>
        <v>134.19</v>
      </c>
      <c r="I247" s="9">
        <f t="shared" si="81"/>
        <v>28.1799</v>
      </c>
      <c r="J247" s="239">
        <f t="shared" si="82"/>
        <v>162.3699</v>
      </c>
      <c r="L247" s="153">
        <f t="shared" si="83"/>
        <v>54.314999999999998</v>
      </c>
      <c r="M247" s="238">
        <f t="shared" si="84"/>
        <v>118.215</v>
      </c>
      <c r="N247" s="9">
        <f t="shared" si="85"/>
        <v>24.825150000000001</v>
      </c>
      <c r="O247" s="239">
        <f t="shared" si="86"/>
        <v>143.04015000000001</v>
      </c>
    </row>
    <row r="248" spans="1:15" x14ac:dyDescent="0.3">
      <c r="A248" s="233" t="s">
        <v>881</v>
      </c>
      <c r="B248" s="234" t="s">
        <v>2206</v>
      </c>
      <c r="C248" s="235" t="s">
        <v>1655</v>
      </c>
      <c r="D248" s="236">
        <v>67</v>
      </c>
      <c r="E248" s="237">
        <v>1.1000000000000001</v>
      </c>
      <c r="F248" s="445">
        <v>0.85</v>
      </c>
      <c r="G248" s="2">
        <f t="shared" si="79"/>
        <v>73.7</v>
      </c>
      <c r="H248" s="238">
        <f t="shared" si="80"/>
        <v>140.69999999999999</v>
      </c>
      <c r="I248" s="9">
        <f t="shared" si="81"/>
        <v>29.546999999999997</v>
      </c>
      <c r="J248" s="239">
        <f t="shared" si="82"/>
        <v>170.24699999999999</v>
      </c>
      <c r="L248" s="153">
        <f t="shared" si="83"/>
        <v>56.949999999999996</v>
      </c>
      <c r="M248" s="238">
        <f t="shared" si="84"/>
        <v>123.94999999999999</v>
      </c>
      <c r="N248" s="9">
        <f t="shared" si="85"/>
        <v>26.029499999999995</v>
      </c>
      <c r="O248" s="239">
        <f t="shared" si="86"/>
        <v>149.97949999999997</v>
      </c>
    </row>
    <row r="249" spans="1:15" x14ac:dyDescent="0.3">
      <c r="A249" s="233" t="s">
        <v>2207</v>
      </c>
      <c r="B249" s="234" t="s">
        <v>2208</v>
      </c>
      <c r="C249" s="235" t="s">
        <v>1655</v>
      </c>
      <c r="D249" s="236">
        <v>70.099999999999895</v>
      </c>
      <c r="E249" s="237">
        <v>1.1000000000000001</v>
      </c>
      <c r="F249" s="445">
        <v>0.85</v>
      </c>
      <c r="G249" s="2">
        <f t="shared" si="79"/>
        <v>77.109999999999886</v>
      </c>
      <c r="H249" s="238">
        <f t="shared" si="80"/>
        <v>147.20999999999978</v>
      </c>
      <c r="I249" s="9">
        <f t="shared" si="81"/>
        <v>30.914099999999952</v>
      </c>
      <c r="J249" s="239">
        <f t="shared" si="82"/>
        <v>178.12409999999974</v>
      </c>
      <c r="L249" s="153">
        <f t="shared" si="83"/>
        <v>59.584999999999908</v>
      </c>
      <c r="M249" s="238">
        <f t="shared" si="84"/>
        <v>129.6849999999998</v>
      </c>
      <c r="N249" s="9">
        <f t="shared" si="85"/>
        <v>27.233849999999958</v>
      </c>
      <c r="O249" s="239">
        <f t="shared" si="86"/>
        <v>156.91884999999976</v>
      </c>
    </row>
    <row r="250" spans="1:15" x14ac:dyDescent="0.3">
      <c r="A250" s="233" t="s">
        <v>2209</v>
      </c>
      <c r="B250" s="234" t="s">
        <v>2210</v>
      </c>
      <c r="C250" s="235" t="s">
        <v>1655</v>
      </c>
      <c r="D250" s="236">
        <v>73.199999999999903</v>
      </c>
      <c r="E250" s="237">
        <v>1.1000000000000001</v>
      </c>
      <c r="F250" s="445">
        <v>0.85</v>
      </c>
      <c r="G250" s="2">
        <f t="shared" si="79"/>
        <v>80.519999999999897</v>
      </c>
      <c r="H250" s="238">
        <f t="shared" si="80"/>
        <v>153.7199999999998</v>
      </c>
      <c r="I250" s="9">
        <f t="shared" si="81"/>
        <v>32.281199999999956</v>
      </c>
      <c r="J250" s="239">
        <f t="shared" si="82"/>
        <v>186.00119999999976</v>
      </c>
      <c r="L250" s="153">
        <f t="shared" si="83"/>
        <v>62.219999999999914</v>
      </c>
      <c r="M250" s="238">
        <f t="shared" si="84"/>
        <v>135.41999999999982</v>
      </c>
      <c r="N250" s="9">
        <f t="shared" si="85"/>
        <v>28.438199999999959</v>
      </c>
      <c r="O250" s="239">
        <f t="shared" si="86"/>
        <v>163.85819999999978</v>
      </c>
    </row>
    <row r="251" spans="1:15" x14ac:dyDescent="0.3">
      <c r="A251" s="233" t="s">
        <v>2211</v>
      </c>
      <c r="B251" s="234" t="s">
        <v>2212</v>
      </c>
      <c r="C251" s="235" t="s">
        <v>1655</v>
      </c>
      <c r="D251" s="236">
        <v>76.299999999999898</v>
      </c>
      <c r="E251" s="237">
        <v>1.1000000000000001</v>
      </c>
      <c r="F251" s="445">
        <v>0.85</v>
      </c>
      <c r="G251" s="2">
        <f t="shared" si="79"/>
        <v>83.929999999999893</v>
      </c>
      <c r="H251" s="238">
        <f t="shared" si="80"/>
        <v>160.22999999999979</v>
      </c>
      <c r="I251" s="9">
        <f t="shared" si="81"/>
        <v>33.648299999999956</v>
      </c>
      <c r="J251" s="239">
        <f t="shared" si="82"/>
        <v>193.87829999999974</v>
      </c>
      <c r="L251" s="153">
        <f t="shared" si="83"/>
        <v>64.854999999999905</v>
      </c>
      <c r="M251" s="238">
        <f t="shared" si="84"/>
        <v>141.1549999999998</v>
      </c>
      <c r="N251" s="9">
        <f t="shared" si="85"/>
        <v>29.642549999999957</v>
      </c>
      <c r="O251" s="239">
        <f t="shared" si="86"/>
        <v>170.79754999999977</v>
      </c>
    </row>
    <row r="253" spans="1:15" x14ac:dyDescent="0.3">
      <c r="A253" s="284" t="s">
        <v>1222</v>
      </c>
      <c r="B253" s="285" t="s">
        <v>378</v>
      </c>
      <c r="C253" s="286" t="s">
        <v>1655</v>
      </c>
      <c r="D253" s="287">
        <v>14.43</v>
      </c>
      <c r="E253" s="288">
        <v>0.5</v>
      </c>
      <c r="F253" s="289">
        <v>0.25</v>
      </c>
      <c r="G253" s="515">
        <f>D253*E253</f>
        <v>7.2149999999999999</v>
      </c>
      <c r="H253" s="291">
        <f t="shared" ref="H253:H263" si="87">G253+D253</f>
        <v>21.645</v>
      </c>
      <c r="I253" s="9">
        <f t="shared" ref="I253:I263" si="88">H253*0.21</f>
        <v>4.5454499999999998</v>
      </c>
      <c r="J253" s="290">
        <f t="shared" ref="J253:J263" si="89">H253+I253</f>
        <v>26.190449999999998</v>
      </c>
      <c r="L253" s="516">
        <f t="shared" ref="L253:L263" si="90">D253*F253</f>
        <v>3.6074999999999999</v>
      </c>
      <c r="M253" s="291">
        <f t="shared" ref="M253:M263" si="91">D253+L253</f>
        <v>18.037500000000001</v>
      </c>
      <c r="N253" s="9">
        <f t="shared" ref="N253:N263" si="92">M253*0.21</f>
        <v>3.7878750000000001</v>
      </c>
      <c r="O253" s="290">
        <f t="shared" ref="O253:O263" si="93">M253+N253</f>
        <v>21.825375000000001</v>
      </c>
    </row>
    <row r="254" spans="1:15" x14ac:dyDescent="0.3">
      <c r="A254" s="284" t="s">
        <v>1220</v>
      </c>
      <c r="B254" s="285" t="s">
        <v>379</v>
      </c>
      <c r="C254" s="286" t="s">
        <v>1655</v>
      </c>
      <c r="D254" s="287">
        <v>14.69</v>
      </c>
      <c r="E254" s="288">
        <v>0.5</v>
      </c>
      <c r="F254" s="289">
        <v>0.25</v>
      </c>
      <c r="G254" s="515">
        <f>D254*E254</f>
        <v>7.3449999999999998</v>
      </c>
      <c r="H254" s="291">
        <f t="shared" si="87"/>
        <v>22.035</v>
      </c>
      <c r="I254" s="9">
        <f t="shared" si="88"/>
        <v>4.6273499999999999</v>
      </c>
      <c r="J254" s="290">
        <f t="shared" si="89"/>
        <v>26.66235</v>
      </c>
      <c r="L254" s="516">
        <f t="shared" si="90"/>
        <v>3.6724999999999999</v>
      </c>
      <c r="M254" s="291">
        <f t="shared" si="91"/>
        <v>18.362500000000001</v>
      </c>
      <c r="N254" s="9">
        <f t="shared" si="92"/>
        <v>3.856125</v>
      </c>
      <c r="O254" s="290">
        <f t="shared" si="93"/>
        <v>22.218624999999999</v>
      </c>
    </row>
    <row r="255" spans="1:15" x14ac:dyDescent="0.3">
      <c r="A255" s="284" t="s">
        <v>1221</v>
      </c>
      <c r="B255" s="285" t="s">
        <v>1134</v>
      </c>
      <c r="C255" s="286" t="s">
        <v>1655</v>
      </c>
      <c r="D255" s="287">
        <v>14.95</v>
      </c>
      <c r="E255" s="288">
        <v>0.5</v>
      </c>
      <c r="F255" s="289">
        <v>0.25</v>
      </c>
      <c r="G255" s="515">
        <f>D255*E255</f>
        <v>7.4749999999999996</v>
      </c>
      <c r="H255" s="291">
        <f t="shared" si="87"/>
        <v>22.424999999999997</v>
      </c>
      <c r="I255" s="9">
        <f t="shared" si="88"/>
        <v>4.709249999999999</v>
      </c>
      <c r="J255" s="290">
        <f t="shared" si="89"/>
        <v>27.134249999999994</v>
      </c>
      <c r="L255" s="516">
        <f t="shared" si="90"/>
        <v>3.7374999999999998</v>
      </c>
      <c r="M255" s="291">
        <f t="shared" si="91"/>
        <v>18.6875</v>
      </c>
      <c r="N255" s="9">
        <f t="shared" si="92"/>
        <v>3.9243749999999999</v>
      </c>
      <c r="O255" s="290">
        <f t="shared" si="93"/>
        <v>22.611875000000001</v>
      </c>
    </row>
    <row r="256" spans="1:15" ht="28.8" x14ac:dyDescent="0.3">
      <c r="A256" s="284" t="s">
        <v>1547</v>
      </c>
      <c r="B256" s="505" t="s">
        <v>1633</v>
      </c>
      <c r="C256" s="287" t="s">
        <v>1655</v>
      </c>
      <c r="D256" s="498">
        <v>48.157499999999999</v>
      </c>
      <c r="E256" s="288">
        <v>0.5</v>
      </c>
      <c r="F256" s="289">
        <v>0.25</v>
      </c>
      <c r="G256" s="515">
        <f t="shared" ref="G256:G258" si="94">D256*E256</f>
        <v>24.078749999999999</v>
      </c>
      <c r="H256" s="291">
        <f t="shared" si="87"/>
        <v>72.236249999999998</v>
      </c>
      <c r="I256" s="9">
        <f t="shared" si="88"/>
        <v>15.169612499999999</v>
      </c>
      <c r="J256" s="290">
        <f t="shared" si="89"/>
        <v>87.405862499999998</v>
      </c>
      <c r="L256" s="516">
        <f t="shared" si="90"/>
        <v>12.039375</v>
      </c>
      <c r="M256" s="291">
        <f t="shared" si="91"/>
        <v>60.196874999999999</v>
      </c>
      <c r="N256" s="9">
        <f t="shared" si="92"/>
        <v>12.641343749999999</v>
      </c>
      <c r="O256" s="290">
        <f t="shared" si="93"/>
        <v>72.838218749999996</v>
      </c>
    </row>
    <row r="257" spans="1:15" ht="28.8" x14ac:dyDescent="0.3">
      <c r="A257" s="284" t="s">
        <v>1548</v>
      </c>
      <c r="B257" s="499" t="s">
        <v>1363</v>
      </c>
      <c r="C257" s="287" t="s">
        <v>1655</v>
      </c>
      <c r="D257" s="498">
        <v>7.4850000000000003</v>
      </c>
      <c r="E257" s="500">
        <v>0.5</v>
      </c>
      <c r="F257" s="501">
        <v>0.25</v>
      </c>
      <c r="G257" s="515">
        <f t="shared" si="94"/>
        <v>3.7425000000000002</v>
      </c>
      <c r="H257" s="502">
        <f t="shared" si="87"/>
        <v>11.227500000000001</v>
      </c>
      <c r="I257" s="479">
        <f t="shared" si="88"/>
        <v>2.3577750000000002</v>
      </c>
      <c r="J257" s="503">
        <f t="shared" si="89"/>
        <v>13.585275000000001</v>
      </c>
      <c r="K257" s="478"/>
      <c r="L257" s="480">
        <f t="shared" si="90"/>
        <v>1.8712500000000001</v>
      </c>
      <c r="M257" s="502">
        <f t="shared" si="91"/>
        <v>9.3562500000000011</v>
      </c>
      <c r="N257" s="479">
        <f t="shared" si="92"/>
        <v>1.9648125000000001</v>
      </c>
      <c r="O257" s="503">
        <f t="shared" si="93"/>
        <v>11.321062500000002</v>
      </c>
    </row>
    <row r="258" spans="1:15" ht="28.8" x14ac:dyDescent="0.3">
      <c r="A258" s="284" t="s">
        <v>1549</v>
      </c>
      <c r="B258" s="499" t="s">
        <v>1364</v>
      </c>
      <c r="C258" s="287" t="s">
        <v>1655</v>
      </c>
      <c r="D258" s="498">
        <v>92.587500000000006</v>
      </c>
      <c r="E258" s="500">
        <v>0.5</v>
      </c>
      <c r="F258" s="501">
        <v>0.25</v>
      </c>
      <c r="G258" s="515">
        <f t="shared" si="94"/>
        <v>46.293750000000003</v>
      </c>
      <c r="H258" s="502">
        <f t="shared" si="87"/>
        <v>138.88125000000002</v>
      </c>
      <c r="I258" s="479">
        <f t="shared" si="88"/>
        <v>29.165062500000005</v>
      </c>
      <c r="J258" s="503">
        <f t="shared" si="89"/>
        <v>168.04631250000003</v>
      </c>
      <c r="K258" s="478"/>
      <c r="L258" s="480">
        <f t="shared" si="90"/>
        <v>23.146875000000001</v>
      </c>
      <c r="M258" s="502">
        <f t="shared" si="91"/>
        <v>115.734375</v>
      </c>
      <c r="N258" s="479">
        <f t="shared" si="92"/>
        <v>24.30421875</v>
      </c>
      <c r="O258" s="503">
        <f t="shared" si="93"/>
        <v>140.03859374999999</v>
      </c>
    </row>
    <row r="259" spans="1:15" x14ac:dyDescent="0.3">
      <c r="A259" s="284" t="s">
        <v>1598</v>
      </c>
      <c r="B259" s="285" t="s">
        <v>1599</v>
      </c>
      <c r="C259" s="287" t="s">
        <v>1655</v>
      </c>
      <c r="D259" s="287">
        <v>315.62</v>
      </c>
      <c r="E259" s="500">
        <v>0.5</v>
      </c>
      <c r="F259" s="501">
        <v>0.25</v>
      </c>
      <c r="G259" s="515">
        <f>D259*E259</f>
        <v>157.81</v>
      </c>
      <c r="H259" s="291">
        <f t="shared" si="87"/>
        <v>473.43</v>
      </c>
      <c r="I259" s="9">
        <f t="shared" si="88"/>
        <v>99.420299999999997</v>
      </c>
      <c r="J259" s="290">
        <f t="shared" si="89"/>
        <v>572.85030000000006</v>
      </c>
      <c r="L259" s="516">
        <f t="shared" si="90"/>
        <v>78.905000000000001</v>
      </c>
      <c r="M259" s="291">
        <f t="shared" si="91"/>
        <v>394.52499999999998</v>
      </c>
      <c r="N259" s="9">
        <f t="shared" si="92"/>
        <v>82.850249999999988</v>
      </c>
      <c r="O259" s="290">
        <f t="shared" si="93"/>
        <v>477.37524999999994</v>
      </c>
    </row>
    <row r="260" spans="1:15" ht="28.8" x14ac:dyDescent="0.3">
      <c r="A260" s="284" t="s">
        <v>1612</v>
      </c>
      <c r="B260" s="505" t="s">
        <v>1613</v>
      </c>
      <c r="C260" s="287" t="s">
        <v>1655</v>
      </c>
      <c r="D260" s="287">
        <v>10.154999999999999</v>
      </c>
      <c r="E260" s="500">
        <v>0.5</v>
      </c>
      <c r="F260" s="501">
        <v>0.25</v>
      </c>
      <c r="G260" s="515">
        <f>D260*E260</f>
        <v>5.0774999999999997</v>
      </c>
      <c r="H260" s="291">
        <f t="shared" si="87"/>
        <v>15.232499999999998</v>
      </c>
      <c r="I260" s="9">
        <f t="shared" si="88"/>
        <v>3.1988249999999994</v>
      </c>
      <c r="J260" s="290">
        <f t="shared" si="89"/>
        <v>18.431324999999998</v>
      </c>
      <c r="L260" s="516">
        <f t="shared" si="90"/>
        <v>2.5387499999999998</v>
      </c>
      <c r="M260" s="291">
        <f t="shared" si="91"/>
        <v>12.69375</v>
      </c>
      <c r="N260" s="9">
        <f t="shared" si="92"/>
        <v>2.6656874999999998</v>
      </c>
      <c r="O260" s="290">
        <f t="shared" si="93"/>
        <v>15.359437499999999</v>
      </c>
    </row>
    <row r="261" spans="1:15" x14ac:dyDescent="0.3">
      <c r="A261" s="284" t="s">
        <v>1224</v>
      </c>
      <c r="B261" s="285" t="s">
        <v>1223</v>
      </c>
      <c r="C261" s="286" t="s">
        <v>1655</v>
      </c>
      <c r="D261" s="287">
        <v>43.54</v>
      </c>
      <c r="E261" s="500">
        <v>0.5</v>
      </c>
      <c r="F261" s="501">
        <v>0.25</v>
      </c>
      <c r="G261" s="515">
        <f>D261*E261</f>
        <v>21.77</v>
      </c>
      <c r="H261" s="291">
        <f t="shared" si="87"/>
        <v>65.31</v>
      </c>
      <c r="I261" s="9">
        <f t="shared" si="88"/>
        <v>13.7151</v>
      </c>
      <c r="J261" s="290">
        <f t="shared" si="89"/>
        <v>79.025100000000009</v>
      </c>
      <c r="L261" s="516">
        <f t="shared" si="90"/>
        <v>10.885</v>
      </c>
      <c r="M261" s="291">
        <f t="shared" si="91"/>
        <v>54.424999999999997</v>
      </c>
      <c r="N261" s="9">
        <f t="shared" si="92"/>
        <v>11.42925</v>
      </c>
      <c r="O261" s="290">
        <f t="shared" si="93"/>
        <v>65.854249999999993</v>
      </c>
    </row>
    <row r="262" spans="1:15" x14ac:dyDescent="0.3">
      <c r="A262" s="284" t="s">
        <v>1225</v>
      </c>
      <c r="B262" s="285" t="s">
        <v>1226</v>
      </c>
      <c r="C262" s="286" t="s">
        <v>1655</v>
      </c>
      <c r="D262" s="287">
        <v>55.79</v>
      </c>
      <c r="E262" s="500">
        <v>0.5</v>
      </c>
      <c r="F262" s="501">
        <v>0.25</v>
      </c>
      <c r="G262" s="515">
        <f>D262*E262</f>
        <v>27.895</v>
      </c>
      <c r="H262" s="291">
        <f t="shared" si="87"/>
        <v>83.685000000000002</v>
      </c>
      <c r="I262" s="9">
        <f t="shared" si="88"/>
        <v>17.57385</v>
      </c>
      <c r="J262" s="290">
        <f t="shared" si="89"/>
        <v>101.25885</v>
      </c>
      <c r="L262" s="516">
        <f t="shared" si="90"/>
        <v>13.9475</v>
      </c>
      <c r="M262" s="291">
        <f t="shared" si="91"/>
        <v>69.737499999999997</v>
      </c>
      <c r="N262" s="9">
        <f t="shared" si="92"/>
        <v>14.644874999999999</v>
      </c>
      <c r="O262" s="290">
        <f t="shared" si="93"/>
        <v>84.382374999999996</v>
      </c>
    </row>
    <row r="263" spans="1:15" x14ac:dyDescent="0.3">
      <c r="A263" s="284" t="s">
        <v>1603</v>
      </c>
      <c r="B263" s="285" t="s">
        <v>1604</v>
      </c>
      <c r="C263" s="286" t="s">
        <v>1655</v>
      </c>
      <c r="D263" s="287">
        <v>68.040000000000006</v>
      </c>
      <c r="E263" s="500">
        <v>0.5</v>
      </c>
      <c r="F263" s="501">
        <v>0.25</v>
      </c>
      <c r="G263" s="515">
        <f>D263*E263</f>
        <v>34.020000000000003</v>
      </c>
      <c r="H263" s="291">
        <f t="shared" si="87"/>
        <v>102.06</v>
      </c>
      <c r="I263" s="9">
        <f t="shared" si="88"/>
        <v>21.432600000000001</v>
      </c>
      <c r="J263" s="290">
        <f t="shared" si="89"/>
        <v>123.49260000000001</v>
      </c>
      <c r="L263" s="516">
        <f t="shared" si="90"/>
        <v>17.010000000000002</v>
      </c>
      <c r="M263" s="291">
        <f t="shared" si="91"/>
        <v>85.050000000000011</v>
      </c>
      <c r="N263" s="9">
        <f t="shared" si="92"/>
        <v>17.860500000000002</v>
      </c>
      <c r="O263" s="290">
        <f t="shared" si="93"/>
        <v>102.91050000000001</v>
      </c>
    </row>
    <row r="265" spans="1:15" x14ac:dyDescent="0.3">
      <c r="A265" s="347" t="s">
        <v>555</v>
      </c>
      <c r="B265" s="348" t="s">
        <v>451</v>
      </c>
      <c r="C265" s="349" t="s">
        <v>1655</v>
      </c>
      <c r="D265" s="350">
        <v>142.43</v>
      </c>
      <c r="E265" s="351">
        <v>0.13</v>
      </c>
      <c r="F265" s="352">
        <v>0.15</v>
      </c>
      <c r="G265" s="2">
        <f t="shared" ref="G265:G328" si="95">D265*E265</f>
        <v>18.515900000000002</v>
      </c>
      <c r="H265" s="353">
        <f t="shared" ref="H265:H328" si="96">G265+D265</f>
        <v>160.94589999999999</v>
      </c>
      <c r="I265" s="9">
        <f t="shared" ref="I265:I328" si="97">H265*0.21</f>
        <v>33.798638999999994</v>
      </c>
      <c r="J265" s="354">
        <f t="shared" ref="J265:J328" si="98">H265+I265</f>
        <v>194.74453899999997</v>
      </c>
      <c r="L265" s="153">
        <f t="shared" ref="L265:L328" si="99">D265*F265</f>
        <v>21.3645</v>
      </c>
      <c r="M265" s="353">
        <f t="shared" ref="M265:M328" si="100">D265+L265</f>
        <v>163.7945</v>
      </c>
      <c r="N265" s="9">
        <f t="shared" ref="N265:N328" si="101">M265*0.21</f>
        <v>34.396844999999999</v>
      </c>
      <c r="O265" s="354">
        <f t="shared" ref="O265:O328" si="102">M265+N265</f>
        <v>198.19134500000001</v>
      </c>
    </row>
    <row r="266" spans="1:15" x14ac:dyDescent="0.3">
      <c r="A266" s="347" t="s">
        <v>557</v>
      </c>
      <c r="B266" s="348" t="s">
        <v>556</v>
      </c>
      <c r="C266" s="349" t="s">
        <v>1655</v>
      </c>
      <c r="D266" s="350">
        <v>141.24</v>
      </c>
      <c r="E266" s="351">
        <v>0.15</v>
      </c>
      <c r="F266" s="352">
        <v>0.17</v>
      </c>
      <c r="G266" s="2">
        <f t="shared" si="95"/>
        <v>21.186</v>
      </c>
      <c r="H266" s="353">
        <f t="shared" si="96"/>
        <v>162.42600000000002</v>
      </c>
      <c r="I266" s="9">
        <f t="shared" si="97"/>
        <v>34.109460000000006</v>
      </c>
      <c r="J266" s="354">
        <f t="shared" si="98"/>
        <v>196.53546000000003</v>
      </c>
      <c r="L266" s="153">
        <f t="shared" si="99"/>
        <v>24.010800000000003</v>
      </c>
      <c r="M266" s="353">
        <f t="shared" si="100"/>
        <v>165.25080000000003</v>
      </c>
      <c r="N266" s="9">
        <f t="shared" si="101"/>
        <v>34.702668000000003</v>
      </c>
      <c r="O266" s="354">
        <f t="shared" si="102"/>
        <v>199.95346800000004</v>
      </c>
    </row>
    <row r="267" spans="1:15" x14ac:dyDescent="0.3">
      <c r="A267" s="347" t="s">
        <v>559</v>
      </c>
      <c r="B267" s="348" t="s">
        <v>558</v>
      </c>
      <c r="C267" s="349" t="s">
        <v>1655</v>
      </c>
      <c r="D267" s="350">
        <v>140.05000000000001</v>
      </c>
      <c r="E267" s="351">
        <v>0.17</v>
      </c>
      <c r="F267" s="352">
        <v>0.19</v>
      </c>
      <c r="G267" s="2">
        <f t="shared" si="95"/>
        <v>23.808500000000002</v>
      </c>
      <c r="H267" s="353">
        <f t="shared" si="96"/>
        <v>163.85850000000002</v>
      </c>
      <c r="I267" s="9">
        <f t="shared" si="97"/>
        <v>34.410285000000002</v>
      </c>
      <c r="J267" s="354">
        <f t="shared" si="98"/>
        <v>198.26878500000004</v>
      </c>
      <c r="L267" s="153">
        <f t="shared" si="99"/>
        <v>26.609500000000004</v>
      </c>
      <c r="M267" s="353">
        <f t="shared" si="100"/>
        <v>166.65950000000001</v>
      </c>
      <c r="N267" s="9">
        <f t="shared" si="101"/>
        <v>34.998494999999998</v>
      </c>
      <c r="O267" s="354">
        <f t="shared" si="102"/>
        <v>201.657995</v>
      </c>
    </row>
    <row r="268" spans="1:15" x14ac:dyDescent="0.3">
      <c r="A268" s="347" t="s">
        <v>561</v>
      </c>
      <c r="B268" s="348" t="s">
        <v>560</v>
      </c>
      <c r="C268" s="349" t="s">
        <v>1655</v>
      </c>
      <c r="D268" s="350">
        <v>138.86000000000001</v>
      </c>
      <c r="E268" s="351">
        <v>0.19</v>
      </c>
      <c r="F268" s="352">
        <v>0.21</v>
      </c>
      <c r="G268" s="2">
        <f t="shared" si="95"/>
        <v>26.383400000000002</v>
      </c>
      <c r="H268" s="353">
        <f t="shared" si="96"/>
        <v>165.24340000000001</v>
      </c>
      <c r="I268" s="9">
        <f t="shared" si="97"/>
        <v>34.701113999999997</v>
      </c>
      <c r="J268" s="354">
        <f t="shared" si="98"/>
        <v>199.944514</v>
      </c>
      <c r="L268" s="153">
        <f t="shared" si="99"/>
        <v>29.160600000000002</v>
      </c>
      <c r="M268" s="353">
        <f t="shared" si="100"/>
        <v>168.0206</v>
      </c>
      <c r="N268" s="9">
        <f t="shared" si="101"/>
        <v>35.284326</v>
      </c>
      <c r="O268" s="354">
        <f t="shared" si="102"/>
        <v>203.30492599999999</v>
      </c>
    </row>
    <row r="269" spans="1:15" x14ac:dyDescent="0.3">
      <c r="A269" s="347" t="s">
        <v>564</v>
      </c>
      <c r="B269" s="348" t="s">
        <v>562</v>
      </c>
      <c r="C269" s="349" t="s">
        <v>1655</v>
      </c>
      <c r="D269" s="350">
        <v>137.66999999999999</v>
      </c>
      <c r="E269" s="351">
        <v>0.21</v>
      </c>
      <c r="F269" s="352">
        <v>0.23</v>
      </c>
      <c r="G269" s="2">
        <f t="shared" si="95"/>
        <v>28.910699999999995</v>
      </c>
      <c r="H269" s="353">
        <f t="shared" si="96"/>
        <v>166.58069999999998</v>
      </c>
      <c r="I269" s="9">
        <f t="shared" si="97"/>
        <v>34.981946999999991</v>
      </c>
      <c r="J269" s="354">
        <f t="shared" si="98"/>
        <v>201.56264699999997</v>
      </c>
      <c r="L269" s="153">
        <f t="shared" si="99"/>
        <v>31.664099999999998</v>
      </c>
      <c r="M269" s="353">
        <f t="shared" si="100"/>
        <v>169.33409999999998</v>
      </c>
      <c r="N269" s="9">
        <f t="shared" si="101"/>
        <v>35.560160999999994</v>
      </c>
      <c r="O269" s="354">
        <f t="shared" si="102"/>
        <v>204.89426099999997</v>
      </c>
    </row>
    <row r="270" spans="1:15" x14ac:dyDescent="0.3">
      <c r="A270" s="347" t="s">
        <v>569</v>
      </c>
      <c r="B270" s="348" t="s">
        <v>570</v>
      </c>
      <c r="C270" s="349" t="s">
        <v>1655</v>
      </c>
      <c r="D270" s="350">
        <v>136.47999999999999</v>
      </c>
      <c r="E270" s="351">
        <v>0.23</v>
      </c>
      <c r="F270" s="352">
        <v>0.25</v>
      </c>
      <c r="G270" s="2">
        <f t="shared" si="95"/>
        <v>31.3904</v>
      </c>
      <c r="H270" s="353">
        <f t="shared" si="96"/>
        <v>167.87039999999999</v>
      </c>
      <c r="I270" s="9">
        <f t="shared" si="97"/>
        <v>35.252783999999998</v>
      </c>
      <c r="J270" s="354">
        <f t="shared" si="98"/>
        <v>203.12318399999998</v>
      </c>
      <c r="L270" s="153">
        <f t="shared" si="99"/>
        <v>34.119999999999997</v>
      </c>
      <c r="M270" s="353">
        <f t="shared" si="100"/>
        <v>170.6</v>
      </c>
      <c r="N270" s="9">
        <f t="shared" si="101"/>
        <v>35.826000000000001</v>
      </c>
      <c r="O270" s="354">
        <f t="shared" si="102"/>
        <v>206.42599999999999</v>
      </c>
    </row>
    <row r="271" spans="1:15" x14ac:dyDescent="0.3">
      <c r="A271" s="347" t="s">
        <v>571</v>
      </c>
      <c r="B271" s="348" t="s">
        <v>572</v>
      </c>
      <c r="C271" s="349" t="s">
        <v>1655</v>
      </c>
      <c r="D271" s="350">
        <v>135.29</v>
      </c>
      <c r="E271" s="351">
        <v>0.25</v>
      </c>
      <c r="F271" s="352">
        <v>0.27</v>
      </c>
      <c r="G271" s="2">
        <f t="shared" si="95"/>
        <v>33.822499999999998</v>
      </c>
      <c r="H271" s="353">
        <f t="shared" si="96"/>
        <v>169.11249999999998</v>
      </c>
      <c r="I271" s="9">
        <f t="shared" si="97"/>
        <v>35.513624999999998</v>
      </c>
      <c r="J271" s="354">
        <f t="shared" si="98"/>
        <v>204.62612499999997</v>
      </c>
      <c r="L271" s="153">
        <f t="shared" si="99"/>
        <v>36.528300000000002</v>
      </c>
      <c r="M271" s="353">
        <f t="shared" si="100"/>
        <v>171.81829999999999</v>
      </c>
      <c r="N271" s="9">
        <f t="shared" si="101"/>
        <v>36.081842999999999</v>
      </c>
      <c r="O271" s="354">
        <f t="shared" si="102"/>
        <v>207.90014299999999</v>
      </c>
    </row>
    <row r="272" spans="1:15" x14ac:dyDescent="0.3">
      <c r="A272" s="347" t="s">
        <v>573</v>
      </c>
      <c r="B272" s="348" t="s">
        <v>574</v>
      </c>
      <c r="C272" s="349" t="s">
        <v>1655</v>
      </c>
      <c r="D272" s="350">
        <v>134.1</v>
      </c>
      <c r="E272" s="351">
        <v>0.27</v>
      </c>
      <c r="F272" s="352">
        <v>0.28999999999999998</v>
      </c>
      <c r="G272" s="2">
        <f t="shared" si="95"/>
        <v>36.207000000000001</v>
      </c>
      <c r="H272" s="353">
        <f t="shared" si="96"/>
        <v>170.30699999999999</v>
      </c>
      <c r="I272" s="9">
        <f t="shared" si="97"/>
        <v>35.764469999999996</v>
      </c>
      <c r="J272" s="354">
        <f t="shared" si="98"/>
        <v>206.07146999999998</v>
      </c>
      <c r="L272" s="153">
        <f t="shared" si="99"/>
        <v>38.888999999999996</v>
      </c>
      <c r="M272" s="353">
        <f t="shared" si="100"/>
        <v>172.98899999999998</v>
      </c>
      <c r="N272" s="9">
        <f t="shared" si="101"/>
        <v>36.327689999999997</v>
      </c>
      <c r="O272" s="354">
        <f t="shared" si="102"/>
        <v>209.31668999999997</v>
      </c>
    </row>
    <row r="273" spans="1:15" x14ac:dyDescent="0.3">
      <c r="A273" s="347" t="s">
        <v>575</v>
      </c>
      <c r="B273" s="348" t="s">
        <v>576</v>
      </c>
      <c r="C273" s="349" t="s">
        <v>1655</v>
      </c>
      <c r="D273" s="350">
        <v>132.91</v>
      </c>
      <c r="E273" s="351">
        <v>0.28999999999999998</v>
      </c>
      <c r="F273" s="352">
        <v>0.31</v>
      </c>
      <c r="G273" s="2">
        <f t="shared" si="95"/>
        <v>38.543899999999994</v>
      </c>
      <c r="H273" s="353">
        <f t="shared" si="96"/>
        <v>171.45389999999998</v>
      </c>
      <c r="I273" s="9">
        <f t="shared" si="97"/>
        <v>36.005318999999993</v>
      </c>
      <c r="J273" s="354">
        <f t="shared" si="98"/>
        <v>207.45921899999996</v>
      </c>
      <c r="L273" s="153">
        <f t="shared" si="99"/>
        <v>41.202100000000002</v>
      </c>
      <c r="M273" s="353">
        <f t="shared" si="100"/>
        <v>174.1121</v>
      </c>
      <c r="N273" s="9">
        <f t="shared" si="101"/>
        <v>36.563541000000001</v>
      </c>
      <c r="O273" s="354">
        <f t="shared" si="102"/>
        <v>210.67564099999998</v>
      </c>
    </row>
    <row r="274" spans="1:15" x14ac:dyDescent="0.3">
      <c r="A274" s="347" t="s">
        <v>577</v>
      </c>
      <c r="B274" s="348" t="s">
        <v>578</v>
      </c>
      <c r="C274" s="349" t="s">
        <v>1655</v>
      </c>
      <c r="D274" s="350">
        <v>131.72</v>
      </c>
      <c r="E274" s="351">
        <v>0.31</v>
      </c>
      <c r="F274" s="352">
        <v>0.33</v>
      </c>
      <c r="G274" s="2">
        <f t="shared" si="95"/>
        <v>40.833199999999998</v>
      </c>
      <c r="H274" s="353">
        <f t="shared" si="96"/>
        <v>172.5532</v>
      </c>
      <c r="I274" s="9">
        <f t="shared" si="97"/>
        <v>36.236171999999996</v>
      </c>
      <c r="J274" s="354">
        <f t="shared" si="98"/>
        <v>208.78937200000001</v>
      </c>
      <c r="L274" s="153">
        <f t="shared" si="99"/>
        <v>43.467600000000004</v>
      </c>
      <c r="M274" s="353">
        <f t="shared" si="100"/>
        <v>175.1876</v>
      </c>
      <c r="N274" s="9">
        <f t="shared" si="101"/>
        <v>36.789395999999996</v>
      </c>
      <c r="O274" s="354">
        <f t="shared" si="102"/>
        <v>211.97699599999999</v>
      </c>
    </row>
    <row r="275" spans="1:15" x14ac:dyDescent="0.3">
      <c r="A275" s="347" t="s">
        <v>579</v>
      </c>
      <c r="B275" s="348" t="s">
        <v>580</v>
      </c>
      <c r="C275" s="349" t="s">
        <v>1655</v>
      </c>
      <c r="D275" s="350">
        <v>130.53</v>
      </c>
      <c r="E275" s="351">
        <v>0.33</v>
      </c>
      <c r="F275" s="352">
        <v>0.35</v>
      </c>
      <c r="G275" s="2">
        <f t="shared" si="95"/>
        <v>43.0749</v>
      </c>
      <c r="H275" s="353">
        <f t="shared" si="96"/>
        <v>173.60489999999999</v>
      </c>
      <c r="I275" s="9">
        <f t="shared" si="97"/>
        <v>36.457028999999999</v>
      </c>
      <c r="J275" s="354">
        <f t="shared" si="98"/>
        <v>210.06192899999999</v>
      </c>
      <c r="L275" s="153">
        <f t="shared" si="99"/>
        <v>45.685499999999998</v>
      </c>
      <c r="M275" s="353">
        <f t="shared" si="100"/>
        <v>176.21549999999999</v>
      </c>
      <c r="N275" s="9">
        <f t="shared" si="101"/>
        <v>37.005254999999998</v>
      </c>
      <c r="O275" s="354">
        <f t="shared" si="102"/>
        <v>213.220755</v>
      </c>
    </row>
    <row r="276" spans="1:15" x14ac:dyDescent="0.3">
      <c r="A276" s="347" t="s">
        <v>585</v>
      </c>
      <c r="B276" s="348" t="s">
        <v>586</v>
      </c>
      <c r="C276" s="349" t="s">
        <v>1655</v>
      </c>
      <c r="D276" s="350">
        <v>129.34</v>
      </c>
      <c r="E276" s="351">
        <v>0.35</v>
      </c>
      <c r="F276" s="352">
        <v>0.37</v>
      </c>
      <c r="G276" s="2">
        <f t="shared" si="95"/>
        <v>45.268999999999998</v>
      </c>
      <c r="H276" s="353">
        <f t="shared" si="96"/>
        <v>174.60900000000001</v>
      </c>
      <c r="I276" s="9">
        <f t="shared" si="97"/>
        <v>36.66789</v>
      </c>
      <c r="J276" s="354">
        <f t="shared" si="98"/>
        <v>211.27689000000001</v>
      </c>
      <c r="L276" s="153">
        <f t="shared" si="99"/>
        <v>47.855800000000002</v>
      </c>
      <c r="M276" s="353">
        <f t="shared" si="100"/>
        <v>177.19580000000002</v>
      </c>
      <c r="N276" s="9">
        <f t="shared" si="101"/>
        <v>37.211118000000006</v>
      </c>
      <c r="O276" s="354">
        <f t="shared" si="102"/>
        <v>214.40691800000002</v>
      </c>
    </row>
    <row r="277" spans="1:15" x14ac:dyDescent="0.3">
      <c r="A277" s="347" t="s">
        <v>589</v>
      </c>
      <c r="B277" s="348" t="s">
        <v>590</v>
      </c>
      <c r="C277" s="349" t="s">
        <v>1655</v>
      </c>
      <c r="D277" s="350">
        <v>128.15</v>
      </c>
      <c r="E277" s="351">
        <v>0.37</v>
      </c>
      <c r="F277" s="352">
        <v>0.39</v>
      </c>
      <c r="G277" s="2">
        <f t="shared" si="95"/>
        <v>47.415500000000002</v>
      </c>
      <c r="H277" s="353">
        <f t="shared" si="96"/>
        <v>175.56550000000001</v>
      </c>
      <c r="I277" s="9">
        <f t="shared" si="97"/>
        <v>36.868755</v>
      </c>
      <c r="J277" s="354">
        <f t="shared" si="98"/>
        <v>212.43425500000001</v>
      </c>
      <c r="L277" s="153">
        <f t="shared" si="99"/>
        <v>49.978500000000004</v>
      </c>
      <c r="M277" s="353">
        <f t="shared" si="100"/>
        <v>178.1285</v>
      </c>
      <c r="N277" s="9">
        <f t="shared" si="101"/>
        <v>37.406984999999999</v>
      </c>
      <c r="O277" s="354">
        <f t="shared" si="102"/>
        <v>215.53548499999999</v>
      </c>
    </row>
    <row r="278" spans="1:15" x14ac:dyDescent="0.3">
      <c r="A278" s="347" t="s">
        <v>591</v>
      </c>
      <c r="B278" s="348" t="s">
        <v>592</v>
      </c>
      <c r="C278" s="349" t="s">
        <v>1655</v>
      </c>
      <c r="D278" s="350">
        <v>126.96</v>
      </c>
      <c r="E278" s="351">
        <v>0.39</v>
      </c>
      <c r="F278" s="352">
        <v>0.41</v>
      </c>
      <c r="G278" s="2">
        <f t="shared" si="95"/>
        <v>49.514400000000002</v>
      </c>
      <c r="H278" s="353">
        <f t="shared" si="96"/>
        <v>176.4744</v>
      </c>
      <c r="I278" s="9">
        <f t="shared" si="97"/>
        <v>37.059623999999999</v>
      </c>
      <c r="J278" s="354">
        <f t="shared" si="98"/>
        <v>213.53402399999999</v>
      </c>
      <c r="L278" s="153">
        <f t="shared" si="99"/>
        <v>52.053599999999996</v>
      </c>
      <c r="M278" s="353">
        <f t="shared" si="100"/>
        <v>179.0136</v>
      </c>
      <c r="N278" s="9">
        <f t="shared" si="101"/>
        <v>37.592855999999998</v>
      </c>
      <c r="O278" s="354">
        <f t="shared" si="102"/>
        <v>216.60645599999998</v>
      </c>
    </row>
    <row r="279" spans="1:15" x14ac:dyDescent="0.3">
      <c r="A279" s="347" t="s">
        <v>609</v>
      </c>
      <c r="B279" s="348" t="s">
        <v>610</v>
      </c>
      <c r="C279" s="349" t="s">
        <v>1655</v>
      </c>
      <c r="D279" s="350">
        <v>125.77</v>
      </c>
      <c r="E279" s="351">
        <v>0.41</v>
      </c>
      <c r="F279" s="352">
        <v>0.43</v>
      </c>
      <c r="G279" s="2">
        <f t="shared" si="95"/>
        <v>51.565699999999993</v>
      </c>
      <c r="H279" s="353">
        <f t="shared" si="96"/>
        <v>177.33569999999997</v>
      </c>
      <c r="I279" s="9">
        <f t="shared" si="97"/>
        <v>37.240496999999991</v>
      </c>
      <c r="J279" s="354">
        <f t="shared" si="98"/>
        <v>214.57619699999998</v>
      </c>
      <c r="L279" s="153">
        <f t="shared" si="99"/>
        <v>54.081099999999999</v>
      </c>
      <c r="M279" s="353">
        <f t="shared" si="100"/>
        <v>179.8511</v>
      </c>
      <c r="N279" s="9">
        <f t="shared" si="101"/>
        <v>37.768731000000002</v>
      </c>
      <c r="O279" s="354">
        <f t="shared" si="102"/>
        <v>217.619831</v>
      </c>
    </row>
    <row r="280" spans="1:15" x14ac:dyDescent="0.3">
      <c r="A280" s="347" t="s">
        <v>611</v>
      </c>
      <c r="B280" s="348" t="s">
        <v>1041</v>
      </c>
      <c r="C280" s="349" t="s">
        <v>1655</v>
      </c>
      <c r="D280" s="350">
        <v>124.58</v>
      </c>
      <c r="E280" s="351">
        <v>0.43</v>
      </c>
      <c r="F280" s="352">
        <v>0.45</v>
      </c>
      <c r="G280" s="2">
        <f t="shared" si="95"/>
        <v>53.569400000000002</v>
      </c>
      <c r="H280" s="353">
        <f t="shared" si="96"/>
        <v>178.14940000000001</v>
      </c>
      <c r="I280" s="9">
        <f t="shared" si="97"/>
        <v>37.411374000000002</v>
      </c>
      <c r="J280" s="354">
        <f t="shared" si="98"/>
        <v>215.56077400000001</v>
      </c>
      <c r="L280" s="153">
        <f t="shared" si="99"/>
        <v>56.061</v>
      </c>
      <c r="M280" s="353">
        <f t="shared" si="100"/>
        <v>180.64099999999999</v>
      </c>
      <c r="N280" s="9">
        <f t="shared" si="101"/>
        <v>37.934609999999999</v>
      </c>
      <c r="O280" s="354">
        <f t="shared" si="102"/>
        <v>218.57560999999998</v>
      </c>
    </row>
    <row r="281" spans="1:15" x14ac:dyDescent="0.3">
      <c r="A281" s="347" t="s">
        <v>614</v>
      </c>
      <c r="B281" s="348" t="s">
        <v>615</v>
      </c>
      <c r="C281" s="349" t="s">
        <v>1655</v>
      </c>
      <c r="D281" s="350">
        <v>123.39</v>
      </c>
      <c r="E281" s="351">
        <v>0.45</v>
      </c>
      <c r="F281" s="352">
        <v>0.47</v>
      </c>
      <c r="G281" s="2">
        <f t="shared" si="95"/>
        <v>55.525500000000001</v>
      </c>
      <c r="H281" s="353">
        <f t="shared" si="96"/>
        <v>178.91550000000001</v>
      </c>
      <c r="I281" s="9">
        <f t="shared" si="97"/>
        <v>37.572254999999998</v>
      </c>
      <c r="J281" s="354">
        <f t="shared" si="98"/>
        <v>216.48775499999999</v>
      </c>
      <c r="L281" s="153">
        <f t="shared" si="99"/>
        <v>57.993299999999998</v>
      </c>
      <c r="M281" s="353">
        <f t="shared" si="100"/>
        <v>181.38329999999999</v>
      </c>
      <c r="N281" s="9">
        <f t="shared" si="101"/>
        <v>38.090492999999995</v>
      </c>
      <c r="O281" s="354">
        <f t="shared" si="102"/>
        <v>219.473793</v>
      </c>
    </row>
    <row r="282" spans="1:15" x14ac:dyDescent="0.3">
      <c r="A282" s="347" t="s">
        <v>633</v>
      </c>
      <c r="B282" s="348" t="s">
        <v>634</v>
      </c>
      <c r="C282" s="349" t="s">
        <v>1655</v>
      </c>
      <c r="D282" s="350">
        <v>122.2</v>
      </c>
      <c r="E282" s="351">
        <v>0.47</v>
      </c>
      <c r="F282" s="352">
        <v>0.49</v>
      </c>
      <c r="G282" s="2">
        <f t="shared" si="95"/>
        <v>57.433999999999997</v>
      </c>
      <c r="H282" s="353">
        <f t="shared" si="96"/>
        <v>179.63400000000001</v>
      </c>
      <c r="I282" s="9">
        <f t="shared" si="97"/>
        <v>37.723140000000001</v>
      </c>
      <c r="J282" s="354">
        <f t="shared" si="98"/>
        <v>217.35714000000002</v>
      </c>
      <c r="L282" s="153">
        <f t="shared" si="99"/>
        <v>59.878</v>
      </c>
      <c r="M282" s="353">
        <f t="shared" si="100"/>
        <v>182.078</v>
      </c>
      <c r="N282" s="9">
        <f t="shared" si="101"/>
        <v>38.236379999999997</v>
      </c>
      <c r="O282" s="354">
        <f t="shared" si="102"/>
        <v>220.31438</v>
      </c>
    </row>
    <row r="283" spans="1:15" x14ac:dyDescent="0.3">
      <c r="A283" s="347" t="s">
        <v>635</v>
      </c>
      <c r="B283" s="348" t="s">
        <v>636</v>
      </c>
      <c r="C283" s="349" t="s">
        <v>1655</v>
      </c>
      <c r="D283" s="350">
        <v>121.01</v>
      </c>
      <c r="E283" s="351">
        <v>0.49</v>
      </c>
      <c r="F283" s="352">
        <v>0.51</v>
      </c>
      <c r="G283" s="2">
        <f t="shared" si="95"/>
        <v>59.294899999999998</v>
      </c>
      <c r="H283" s="353">
        <f t="shared" si="96"/>
        <v>180.3049</v>
      </c>
      <c r="I283" s="9">
        <f t="shared" si="97"/>
        <v>37.864029000000002</v>
      </c>
      <c r="J283" s="354">
        <f t="shared" si="98"/>
        <v>218.16892899999999</v>
      </c>
      <c r="L283" s="153">
        <f t="shared" si="99"/>
        <v>61.715100000000007</v>
      </c>
      <c r="M283" s="353">
        <f t="shared" si="100"/>
        <v>182.7251</v>
      </c>
      <c r="N283" s="9">
        <f t="shared" si="101"/>
        <v>38.372270999999998</v>
      </c>
      <c r="O283" s="354">
        <f t="shared" si="102"/>
        <v>221.09737100000001</v>
      </c>
    </row>
    <row r="284" spans="1:15" x14ac:dyDescent="0.3">
      <c r="A284" s="347" t="s">
        <v>637</v>
      </c>
      <c r="B284" s="348" t="s">
        <v>1013</v>
      </c>
      <c r="C284" s="349" t="s">
        <v>1655</v>
      </c>
      <c r="D284" s="350">
        <v>119.82</v>
      </c>
      <c r="E284" s="351">
        <v>0.51</v>
      </c>
      <c r="F284" s="352">
        <v>0.53</v>
      </c>
      <c r="G284" s="2">
        <f t="shared" si="95"/>
        <v>61.108199999999997</v>
      </c>
      <c r="H284" s="353">
        <f t="shared" si="96"/>
        <v>180.9282</v>
      </c>
      <c r="I284" s="9">
        <f t="shared" si="97"/>
        <v>37.994922000000003</v>
      </c>
      <c r="J284" s="354">
        <f t="shared" si="98"/>
        <v>218.92312200000001</v>
      </c>
      <c r="L284" s="153">
        <f t="shared" si="99"/>
        <v>63.504599999999996</v>
      </c>
      <c r="M284" s="353">
        <f t="shared" si="100"/>
        <v>183.32459999999998</v>
      </c>
      <c r="N284" s="9">
        <f t="shared" si="101"/>
        <v>38.498165999999991</v>
      </c>
      <c r="O284" s="354">
        <f t="shared" si="102"/>
        <v>221.82276599999997</v>
      </c>
    </row>
    <row r="285" spans="1:15" x14ac:dyDescent="0.3">
      <c r="A285" s="347" t="s">
        <v>638</v>
      </c>
      <c r="B285" s="348" t="s">
        <v>639</v>
      </c>
      <c r="C285" s="349" t="s">
        <v>1655</v>
      </c>
      <c r="D285" s="350">
        <v>118.63</v>
      </c>
      <c r="E285" s="351">
        <v>0.53</v>
      </c>
      <c r="F285" s="352">
        <v>0.55000000000000004</v>
      </c>
      <c r="G285" s="2">
        <f t="shared" si="95"/>
        <v>62.873899999999999</v>
      </c>
      <c r="H285" s="353">
        <f t="shared" si="96"/>
        <v>181.50389999999999</v>
      </c>
      <c r="I285" s="9">
        <f t="shared" si="97"/>
        <v>38.115818999999995</v>
      </c>
      <c r="J285" s="354">
        <f t="shared" si="98"/>
        <v>219.61971899999998</v>
      </c>
      <c r="L285" s="153">
        <f t="shared" si="99"/>
        <v>65.246499999999997</v>
      </c>
      <c r="M285" s="353">
        <f t="shared" si="100"/>
        <v>183.87649999999999</v>
      </c>
      <c r="N285" s="9">
        <f t="shared" si="101"/>
        <v>38.614064999999997</v>
      </c>
      <c r="O285" s="354">
        <f t="shared" si="102"/>
        <v>222.490565</v>
      </c>
    </row>
    <row r="286" spans="1:15" x14ac:dyDescent="0.3">
      <c r="A286" s="347" t="s">
        <v>640</v>
      </c>
      <c r="B286" s="348" t="s">
        <v>641</v>
      </c>
      <c r="C286" s="349" t="s">
        <v>1655</v>
      </c>
      <c r="D286" s="350">
        <v>117.44</v>
      </c>
      <c r="E286" s="351">
        <v>0.55000000000000004</v>
      </c>
      <c r="F286" s="352">
        <v>0.56999999999999995</v>
      </c>
      <c r="G286" s="2">
        <f t="shared" si="95"/>
        <v>64.591999999999999</v>
      </c>
      <c r="H286" s="353">
        <f t="shared" si="96"/>
        <v>182.03199999999998</v>
      </c>
      <c r="I286" s="9">
        <f t="shared" si="97"/>
        <v>38.226719999999993</v>
      </c>
      <c r="J286" s="354">
        <f t="shared" si="98"/>
        <v>220.25871999999998</v>
      </c>
      <c r="L286" s="153">
        <f t="shared" si="99"/>
        <v>66.940799999999996</v>
      </c>
      <c r="M286" s="353">
        <f t="shared" si="100"/>
        <v>184.38079999999999</v>
      </c>
      <c r="N286" s="9">
        <f t="shared" si="101"/>
        <v>38.719967999999994</v>
      </c>
      <c r="O286" s="354">
        <f t="shared" si="102"/>
        <v>223.10076799999999</v>
      </c>
    </row>
    <row r="287" spans="1:15" x14ac:dyDescent="0.3">
      <c r="A287" s="347" t="s">
        <v>656</v>
      </c>
      <c r="B287" s="348" t="s">
        <v>657</v>
      </c>
      <c r="C287" s="349" t="s">
        <v>1655</v>
      </c>
      <c r="D287" s="350">
        <v>116.25</v>
      </c>
      <c r="E287" s="351">
        <v>0.56999999999999995</v>
      </c>
      <c r="F287" s="352">
        <v>0.59</v>
      </c>
      <c r="G287" s="2">
        <f t="shared" si="95"/>
        <v>66.262499999999989</v>
      </c>
      <c r="H287" s="353">
        <f t="shared" si="96"/>
        <v>182.51249999999999</v>
      </c>
      <c r="I287" s="9">
        <f t="shared" si="97"/>
        <v>38.327624999999998</v>
      </c>
      <c r="J287" s="354">
        <f t="shared" si="98"/>
        <v>220.840125</v>
      </c>
      <c r="L287" s="153">
        <f t="shared" si="99"/>
        <v>68.587499999999991</v>
      </c>
      <c r="M287" s="353">
        <f t="shared" si="100"/>
        <v>184.83749999999998</v>
      </c>
      <c r="N287" s="9">
        <f t="shared" si="101"/>
        <v>38.815874999999991</v>
      </c>
      <c r="O287" s="354">
        <f t="shared" si="102"/>
        <v>223.65337499999998</v>
      </c>
    </row>
    <row r="288" spans="1:15" x14ac:dyDescent="0.3">
      <c r="A288" s="347" t="s">
        <v>658</v>
      </c>
      <c r="B288" s="348" t="s">
        <v>962</v>
      </c>
      <c r="C288" s="349" t="s">
        <v>1655</v>
      </c>
      <c r="D288" s="350">
        <v>115.06</v>
      </c>
      <c r="E288" s="351">
        <v>0.59</v>
      </c>
      <c r="F288" s="352">
        <v>0.61</v>
      </c>
      <c r="G288" s="2">
        <f t="shared" si="95"/>
        <v>67.885400000000004</v>
      </c>
      <c r="H288" s="353">
        <f t="shared" si="96"/>
        <v>182.94540000000001</v>
      </c>
      <c r="I288" s="9">
        <f t="shared" si="97"/>
        <v>38.418534000000001</v>
      </c>
      <c r="J288" s="354">
        <f t="shared" si="98"/>
        <v>221.363934</v>
      </c>
      <c r="L288" s="153">
        <f t="shared" si="99"/>
        <v>70.186599999999999</v>
      </c>
      <c r="M288" s="353">
        <f t="shared" si="100"/>
        <v>185.2466</v>
      </c>
      <c r="N288" s="9">
        <f t="shared" si="101"/>
        <v>38.901786000000001</v>
      </c>
      <c r="O288" s="354">
        <f t="shared" si="102"/>
        <v>224.14838600000002</v>
      </c>
    </row>
    <row r="289" spans="1:15" x14ac:dyDescent="0.3">
      <c r="A289" s="347" t="s">
        <v>659</v>
      </c>
      <c r="B289" s="348" t="s">
        <v>660</v>
      </c>
      <c r="C289" s="349" t="s">
        <v>1655</v>
      </c>
      <c r="D289" s="350">
        <v>113.87</v>
      </c>
      <c r="E289" s="351">
        <v>0.61</v>
      </c>
      <c r="F289" s="352">
        <v>0.63</v>
      </c>
      <c r="G289" s="2">
        <f t="shared" si="95"/>
        <v>69.460700000000003</v>
      </c>
      <c r="H289" s="353">
        <f t="shared" si="96"/>
        <v>183.33070000000001</v>
      </c>
      <c r="I289" s="9">
        <f t="shared" si="97"/>
        <v>38.499447000000004</v>
      </c>
      <c r="J289" s="354">
        <f t="shared" si="98"/>
        <v>221.83014700000001</v>
      </c>
      <c r="L289" s="153">
        <f t="shared" si="99"/>
        <v>71.738100000000003</v>
      </c>
      <c r="M289" s="353">
        <f t="shared" si="100"/>
        <v>185.60810000000001</v>
      </c>
      <c r="N289" s="9">
        <f t="shared" si="101"/>
        <v>38.977701000000003</v>
      </c>
      <c r="O289" s="354">
        <f t="shared" si="102"/>
        <v>224.585801</v>
      </c>
    </row>
    <row r="290" spans="1:15" x14ac:dyDescent="0.3">
      <c r="A290" s="347" t="s">
        <v>661</v>
      </c>
      <c r="B290" s="348" t="s">
        <v>662</v>
      </c>
      <c r="C290" s="349" t="s">
        <v>1655</v>
      </c>
      <c r="D290" s="350">
        <v>112.68</v>
      </c>
      <c r="E290" s="351">
        <v>0.63</v>
      </c>
      <c r="F290" s="352">
        <v>0.65</v>
      </c>
      <c r="G290" s="2">
        <f t="shared" si="95"/>
        <v>70.988399999999999</v>
      </c>
      <c r="H290" s="353">
        <f t="shared" si="96"/>
        <v>183.66840000000002</v>
      </c>
      <c r="I290" s="9">
        <f t="shared" si="97"/>
        <v>38.570364000000005</v>
      </c>
      <c r="J290" s="354">
        <f t="shared" si="98"/>
        <v>222.23876400000003</v>
      </c>
      <c r="L290" s="153">
        <f t="shared" si="99"/>
        <v>73.242000000000004</v>
      </c>
      <c r="M290" s="353">
        <f t="shared" si="100"/>
        <v>185.92200000000003</v>
      </c>
      <c r="N290" s="9">
        <f t="shared" si="101"/>
        <v>39.043620000000004</v>
      </c>
      <c r="O290" s="354">
        <f t="shared" si="102"/>
        <v>224.96562000000003</v>
      </c>
    </row>
    <row r="291" spans="1:15" x14ac:dyDescent="0.3">
      <c r="A291" s="347" t="s">
        <v>665</v>
      </c>
      <c r="B291" s="348" t="s">
        <v>666</v>
      </c>
      <c r="C291" s="349" t="s">
        <v>1655</v>
      </c>
      <c r="D291" s="350">
        <v>111.49</v>
      </c>
      <c r="E291" s="351">
        <v>0.65</v>
      </c>
      <c r="F291" s="352">
        <v>0.67</v>
      </c>
      <c r="G291" s="2">
        <f t="shared" si="95"/>
        <v>72.468500000000006</v>
      </c>
      <c r="H291" s="353">
        <f t="shared" si="96"/>
        <v>183.95850000000002</v>
      </c>
      <c r="I291" s="9">
        <f t="shared" si="97"/>
        <v>38.631284999999998</v>
      </c>
      <c r="J291" s="354">
        <f t="shared" si="98"/>
        <v>222.58978500000001</v>
      </c>
      <c r="L291" s="153">
        <f t="shared" si="99"/>
        <v>74.698300000000003</v>
      </c>
      <c r="M291" s="353">
        <f t="shared" si="100"/>
        <v>186.1883</v>
      </c>
      <c r="N291" s="9">
        <f t="shared" si="101"/>
        <v>39.099542999999997</v>
      </c>
      <c r="O291" s="354">
        <f t="shared" si="102"/>
        <v>225.28784300000001</v>
      </c>
    </row>
    <row r="292" spans="1:15" x14ac:dyDescent="0.3">
      <c r="A292" s="347" t="s">
        <v>667</v>
      </c>
      <c r="B292" s="348" t="s">
        <v>668</v>
      </c>
      <c r="C292" s="349" t="s">
        <v>1655</v>
      </c>
      <c r="D292" s="350">
        <v>110.3</v>
      </c>
      <c r="E292" s="351">
        <v>0.67</v>
      </c>
      <c r="F292" s="352">
        <v>0.69</v>
      </c>
      <c r="G292" s="2">
        <f t="shared" si="95"/>
        <v>73.900999999999996</v>
      </c>
      <c r="H292" s="353">
        <f t="shared" si="96"/>
        <v>184.20099999999999</v>
      </c>
      <c r="I292" s="9">
        <f t="shared" si="97"/>
        <v>38.682209999999998</v>
      </c>
      <c r="J292" s="354">
        <f t="shared" si="98"/>
        <v>222.88320999999999</v>
      </c>
      <c r="L292" s="153">
        <f t="shared" si="99"/>
        <v>76.106999999999985</v>
      </c>
      <c r="M292" s="353">
        <f t="shared" si="100"/>
        <v>186.40699999999998</v>
      </c>
      <c r="N292" s="9">
        <f t="shared" si="101"/>
        <v>39.145469999999996</v>
      </c>
      <c r="O292" s="354">
        <f t="shared" si="102"/>
        <v>225.55246999999997</v>
      </c>
    </row>
    <row r="293" spans="1:15" x14ac:dyDescent="0.3">
      <c r="A293" s="347" t="s">
        <v>669</v>
      </c>
      <c r="B293" s="348" t="s">
        <v>670</v>
      </c>
      <c r="C293" s="349" t="s">
        <v>1655</v>
      </c>
      <c r="D293" s="350">
        <v>109.11</v>
      </c>
      <c r="E293" s="351">
        <v>0.69</v>
      </c>
      <c r="F293" s="352">
        <v>0.71</v>
      </c>
      <c r="G293" s="2">
        <f t="shared" si="95"/>
        <v>75.285899999999998</v>
      </c>
      <c r="H293" s="353">
        <f t="shared" si="96"/>
        <v>184.39589999999998</v>
      </c>
      <c r="I293" s="9">
        <f t="shared" si="97"/>
        <v>38.723138999999996</v>
      </c>
      <c r="J293" s="354">
        <f t="shared" si="98"/>
        <v>223.11903899999999</v>
      </c>
      <c r="L293" s="153">
        <f t="shared" si="99"/>
        <v>77.468099999999993</v>
      </c>
      <c r="M293" s="353">
        <f t="shared" si="100"/>
        <v>186.57810000000001</v>
      </c>
      <c r="N293" s="9">
        <f t="shared" si="101"/>
        <v>39.181401000000001</v>
      </c>
      <c r="O293" s="354">
        <f t="shared" si="102"/>
        <v>225.759501</v>
      </c>
    </row>
    <row r="294" spans="1:15" x14ac:dyDescent="0.3">
      <c r="A294" s="347" t="s">
        <v>671</v>
      </c>
      <c r="B294" s="348" t="s">
        <v>964</v>
      </c>
      <c r="C294" s="349" t="s">
        <v>1655</v>
      </c>
      <c r="D294" s="350">
        <v>107.92</v>
      </c>
      <c r="E294" s="351">
        <v>0.71</v>
      </c>
      <c r="F294" s="352">
        <v>0.73000000000000098</v>
      </c>
      <c r="G294" s="2">
        <f t="shared" si="95"/>
        <v>76.623199999999997</v>
      </c>
      <c r="H294" s="353">
        <f t="shared" si="96"/>
        <v>184.54320000000001</v>
      </c>
      <c r="I294" s="9">
        <f t="shared" si="97"/>
        <v>38.754072000000001</v>
      </c>
      <c r="J294" s="354">
        <f t="shared" si="98"/>
        <v>223.29727200000002</v>
      </c>
      <c r="L294" s="153">
        <f t="shared" si="99"/>
        <v>78.781600000000111</v>
      </c>
      <c r="M294" s="353">
        <f t="shared" si="100"/>
        <v>186.7016000000001</v>
      </c>
      <c r="N294" s="9">
        <f t="shared" si="101"/>
        <v>39.207336000000019</v>
      </c>
      <c r="O294" s="354">
        <f t="shared" si="102"/>
        <v>225.90893600000012</v>
      </c>
    </row>
    <row r="295" spans="1:15" x14ac:dyDescent="0.3">
      <c r="A295" s="347" t="s">
        <v>672</v>
      </c>
      <c r="B295" s="348" t="s">
        <v>965</v>
      </c>
      <c r="C295" s="349" t="s">
        <v>1655</v>
      </c>
      <c r="D295" s="350">
        <v>106.73</v>
      </c>
      <c r="E295" s="351">
        <v>0.73</v>
      </c>
      <c r="F295" s="352">
        <v>0.750000000000001</v>
      </c>
      <c r="G295" s="2">
        <f t="shared" si="95"/>
        <v>77.912900000000008</v>
      </c>
      <c r="H295" s="353">
        <f t="shared" si="96"/>
        <v>184.6429</v>
      </c>
      <c r="I295" s="9">
        <f t="shared" si="97"/>
        <v>38.775008999999997</v>
      </c>
      <c r="J295" s="354">
        <f t="shared" si="98"/>
        <v>223.41790900000001</v>
      </c>
      <c r="L295" s="153">
        <f t="shared" si="99"/>
        <v>80.047500000000113</v>
      </c>
      <c r="M295" s="353">
        <f t="shared" si="100"/>
        <v>186.77750000000012</v>
      </c>
      <c r="N295" s="9">
        <f t="shared" si="101"/>
        <v>39.223275000000022</v>
      </c>
      <c r="O295" s="354">
        <f t="shared" si="102"/>
        <v>226.00077500000015</v>
      </c>
    </row>
    <row r="296" spans="1:15" x14ac:dyDescent="0.3">
      <c r="A296" s="347" t="s">
        <v>673</v>
      </c>
      <c r="B296" s="348" t="s">
        <v>966</v>
      </c>
      <c r="C296" s="349" t="s">
        <v>1655</v>
      </c>
      <c r="D296" s="350">
        <v>105.54</v>
      </c>
      <c r="E296" s="351">
        <v>0.75</v>
      </c>
      <c r="F296" s="352">
        <v>0.77000000000000102</v>
      </c>
      <c r="G296" s="2">
        <f t="shared" si="95"/>
        <v>79.155000000000001</v>
      </c>
      <c r="H296" s="353">
        <f t="shared" si="96"/>
        <v>184.69499999999999</v>
      </c>
      <c r="I296" s="9">
        <f t="shared" si="97"/>
        <v>38.78595</v>
      </c>
      <c r="J296" s="354">
        <f t="shared" si="98"/>
        <v>223.48095000000001</v>
      </c>
      <c r="L296" s="153">
        <f t="shared" si="99"/>
        <v>81.265800000000112</v>
      </c>
      <c r="M296" s="353">
        <f t="shared" si="100"/>
        <v>186.80580000000012</v>
      </c>
      <c r="N296" s="9">
        <f t="shared" si="101"/>
        <v>39.229218000000024</v>
      </c>
      <c r="O296" s="354">
        <f t="shared" si="102"/>
        <v>226.03501800000015</v>
      </c>
    </row>
    <row r="297" spans="1:15" x14ac:dyDescent="0.3">
      <c r="A297" s="347" t="s">
        <v>675</v>
      </c>
      <c r="B297" s="348" t="s">
        <v>963</v>
      </c>
      <c r="C297" s="349" t="s">
        <v>1655</v>
      </c>
      <c r="D297" s="350">
        <v>104.35</v>
      </c>
      <c r="E297" s="351">
        <v>0.77</v>
      </c>
      <c r="F297" s="352">
        <v>0.79000000000000103</v>
      </c>
      <c r="G297" s="2">
        <f t="shared" si="95"/>
        <v>80.349499999999992</v>
      </c>
      <c r="H297" s="353">
        <f t="shared" si="96"/>
        <v>184.6995</v>
      </c>
      <c r="I297" s="9">
        <f t="shared" si="97"/>
        <v>38.786895000000001</v>
      </c>
      <c r="J297" s="354">
        <f t="shared" si="98"/>
        <v>223.48639500000002</v>
      </c>
      <c r="L297" s="153">
        <f t="shared" si="99"/>
        <v>82.436500000000109</v>
      </c>
      <c r="M297" s="353">
        <f t="shared" si="100"/>
        <v>186.7865000000001</v>
      </c>
      <c r="N297" s="9">
        <f t="shared" si="101"/>
        <v>39.225165000000018</v>
      </c>
      <c r="O297" s="354">
        <f t="shared" si="102"/>
        <v>226.01166500000011</v>
      </c>
    </row>
    <row r="298" spans="1:15" x14ac:dyDescent="0.3">
      <c r="A298" s="347" t="s">
        <v>676</v>
      </c>
      <c r="B298" s="348" t="s">
        <v>677</v>
      </c>
      <c r="C298" s="349" t="s">
        <v>1655</v>
      </c>
      <c r="D298" s="350">
        <v>103.16</v>
      </c>
      <c r="E298" s="351">
        <v>0.79</v>
      </c>
      <c r="F298" s="352">
        <v>0.81000000000000105</v>
      </c>
      <c r="G298" s="2">
        <f t="shared" si="95"/>
        <v>81.496399999999994</v>
      </c>
      <c r="H298" s="353">
        <f t="shared" si="96"/>
        <v>184.65639999999999</v>
      </c>
      <c r="I298" s="9">
        <f t="shared" si="97"/>
        <v>38.777843999999995</v>
      </c>
      <c r="J298" s="354">
        <f t="shared" si="98"/>
        <v>223.43424399999998</v>
      </c>
      <c r="L298" s="153">
        <f t="shared" si="99"/>
        <v>83.559600000000103</v>
      </c>
      <c r="M298" s="353">
        <f t="shared" si="100"/>
        <v>186.7196000000001</v>
      </c>
      <c r="N298" s="9">
        <f t="shared" si="101"/>
        <v>39.211116000000018</v>
      </c>
      <c r="O298" s="354">
        <f t="shared" si="102"/>
        <v>225.93071600000013</v>
      </c>
    </row>
    <row r="299" spans="1:15" x14ac:dyDescent="0.3">
      <c r="A299" s="347" t="s">
        <v>682</v>
      </c>
      <c r="B299" s="348" t="s">
        <v>1297</v>
      </c>
      <c r="C299" s="349" t="s">
        <v>1655</v>
      </c>
      <c r="D299" s="350">
        <v>101.97</v>
      </c>
      <c r="E299" s="351">
        <v>0.81</v>
      </c>
      <c r="F299" s="352">
        <v>0.83000000000000096</v>
      </c>
      <c r="G299" s="2">
        <f t="shared" si="95"/>
        <v>82.595700000000008</v>
      </c>
      <c r="H299" s="353">
        <f t="shared" si="96"/>
        <v>184.56569999999999</v>
      </c>
      <c r="I299" s="9">
        <f t="shared" si="97"/>
        <v>38.758796999999994</v>
      </c>
      <c r="J299" s="354">
        <f t="shared" si="98"/>
        <v>223.32449699999998</v>
      </c>
      <c r="L299" s="153">
        <f t="shared" si="99"/>
        <v>84.635100000000094</v>
      </c>
      <c r="M299" s="353">
        <f t="shared" si="100"/>
        <v>186.60510000000011</v>
      </c>
      <c r="N299" s="9">
        <f t="shared" si="101"/>
        <v>39.187071000000024</v>
      </c>
      <c r="O299" s="354">
        <f t="shared" si="102"/>
        <v>225.79217100000014</v>
      </c>
    </row>
    <row r="300" spans="1:15" x14ac:dyDescent="0.3">
      <c r="A300" s="347" t="s">
        <v>683</v>
      </c>
      <c r="B300" s="348" t="s">
        <v>684</v>
      </c>
      <c r="C300" s="349" t="s">
        <v>1655</v>
      </c>
      <c r="D300" s="350">
        <v>100.78</v>
      </c>
      <c r="E300" s="351">
        <v>0.83</v>
      </c>
      <c r="F300" s="352">
        <v>0.85000000000000098</v>
      </c>
      <c r="G300" s="2">
        <f t="shared" si="95"/>
        <v>83.64739999999999</v>
      </c>
      <c r="H300" s="353">
        <f t="shared" si="96"/>
        <v>184.42739999999998</v>
      </c>
      <c r="I300" s="9">
        <f t="shared" si="97"/>
        <v>38.729753999999993</v>
      </c>
      <c r="J300" s="354">
        <f t="shared" si="98"/>
        <v>223.15715399999996</v>
      </c>
      <c r="L300" s="153">
        <f t="shared" si="99"/>
        <v>85.663000000000096</v>
      </c>
      <c r="M300" s="353">
        <f t="shared" si="100"/>
        <v>186.4430000000001</v>
      </c>
      <c r="N300" s="9">
        <f t="shared" si="101"/>
        <v>39.153030000000022</v>
      </c>
      <c r="O300" s="354">
        <f t="shared" si="102"/>
        <v>225.59603000000013</v>
      </c>
    </row>
    <row r="301" spans="1:15" x14ac:dyDescent="0.3">
      <c r="A301" s="347" t="s">
        <v>685</v>
      </c>
      <c r="B301" s="348" t="s">
        <v>686</v>
      </c>
      <c r="C301" s="349" t="s">
        <v>1655</v>
      </c>
      <c r="D301" s="350">
        <v>99.590000000000103</v>
      </c>
      <c r="E301" s="351">
        <v>0.85</v>
      </c>
      <c r="F301" s="352">
        <v>0.87000000000000099</v>
      </c>
      <c r="G301" s="2">
        <f t="shared" si="95"/>
        <v>84.651500000000084</v>
      </c>
      <c r="H301" s="353">
        <f t="shared" si="96"/>
        <v>184.2415000000002</v>
      </c>
      <c r="I301" s="9">
        <f t="shared" si="97"/>
        <v>38.69071500000004</v>
      </c>
      <c r="J301" s="354">
        <f t="shared" si="98"/>
        <v>222.93221500000024</v>
      </c>
      <c r="L301" s="153">
        <f t="shared" si="99"/>
        <v>86.643300000000195</v>
      </c>
      <c r="M301" s="353">
        <f t="shared" si="100"/>
        <v>186.2333000000003</v>
      </c>
      <c r="N301" s="9">
        <f t="shared" si="101"/>
        <v>39.108993000000062</v>
      </c>
      <c r="O301" s="354">
        <f t="shared" si="102"/>
        <v>225.34229300000035</v>
      </c>
    </row>
    <row r="302" spans="1:15" x14ac:dyDescent="0.3">
      <c r="A302" s="347" t="s">
        <v>687</v>
      </c>
      <c r="B302" s="348" t="s">
        <v>688</v>
      </c>
      <c r="C302" s="349" t="s">
        <v>1655</v>
      </c>
      <c r="D302" s="350">
        <v>98.400000000000105</v>
      </c>
      <c r="E302" s="351">
        <v>0.87</v>
      </c>
      <c r="F302" s="352">
        <v>0.89000000000000101</v>
      </c>
      <c r="G302" s="2">
        <f t="shared" si="95"/>
        <v>85.608000000000089</v>
      </c>
      <c r="H302" s="353">
        <f t="shared" si="96"/>
        <v>184.00800000000021</v>
      </c>
      <c r="I302" s="9">
        <f t="shared" si="97"/>
        <v>38.641680000000044</v>
      </c>
      <c r="J302" s="354">
        <f t="shared" si="98"/>
        <v>222.64968000000025</v>
      </c>
      <c r="L302" s="153">
        <f t="shared" si="99"/>
        <v>87.576000000000192</v>
      </c>
      <c r="M302" s="353">
        <f t="shared" si="100"/>
        <v>185.97600000000028</v>
      </c>
      <c r="N302" s="9">
        <f t="shared" si="101"/>
        <v>39.054960000000058</v>
      </c>
      <c r="O302" s="354">
        <f t="shared" si="102"/>
        <v>225.03096000000033</v>
      </c>
    </row>
    <row r="303" spans="1:15" x14ac:dyDescent="0.3">
      <c r="A303" s="347" t="s">
        <v>689</v>
      </c>
      <c r="B303" s="348" t="s">
        <v>690</v>
      </c>
      <c r="C303" s="349" t="s">
        <v>1655</v>
      </c>
      <c r="D303" s="350">
        <v>97.210000000000093</v>
      </c>
      <c r="E303" s="351">
        <v>0.89</v>
      </c>
      <c r="F303" s="352">
        <v>0.91000000000000103</v>
      </c>
      <c r="G303" s="2">
        <f t="shared" si="95"/>
        <v>86.516900000000078</v>
      </c>
      <c r="H303" s="353">
        <f t="shared" si="96"/>
        <v>183.72690000000017</v>
      </c>
      <c r="I303" s="9">
        <f t="shared" si="97"/>
        <v>38.582649000000032</v>
      </c>
      <c r="J303" s="354">
        <f t="shared" si="98"/>
        <v>222.3095490000002</v>
      </c>
      <c r="L303" s="153">
        <f t="shared" si="99"/>
        <v>88.461100000000187</v>
      </c>
      <c r="M303" s="353">
        <f t="shared" si="100"/>
        <v>185.67110000000028</v>
      </c>
      <c r="N303" s="9">
        <f t="shared" si="101"/>
        <v>38.99093100000006</v>
      </c>
      <c r="O303" s="354">
        <f t="shared" si="102"/>
        <v>224.66203100000035</v>
      </c>
    </row>
    <row r="304" spans="1:15" x14ac:dyDescent="0.3">
      <c r="A304" s="347" t="s">
        <v>691</v>
      </c>
      <c r="B304" s="348" t="s">
        <v>692</v>
      </c>
      <c r="C304" s="349" t="s">
        <v>1655</v>
      </c>
      <c r="D304" s="350">
        <v>96.020000000000095</v>
      </c>
      <c r="E304" s="351">
        <v>0.91</v>
      </c>
      <c r="F304" s="352">
        <v>0.93000000000000105</v>
      </c>
      <c r="G304" s="2">
        <f t="shared" si="95"/>
        <v>87.378200000000092</v>
      </c>
      <c r="H304" s="353">
        <f t="shared" si="96"/>
        <v>183.3982000000002</v>
      </c>
      <c r="I304" s="9">
        <f t="shared" si="97"/>
        <v>38.513622000000041</v>
      </c>
      <c r="J304" s="354">
        <f t="shared" si="98"/>
        <v>221.91182200000026</v>
      </c>
      <c r="L304" s="153">
        <f t="shared" si="99"/>
        <v>89.298600000000192</v>
      </c>
      <c r="M304" s="353">
        <f t="shared" si="100"/>
        <v>185.31860000000029</v>
      </c>
      <c r="N304" s="9">
        <f t="shared" si="101"/>
        <v>38.916906000000061</v>
      </c>
      <c r="O304" s="354">
        <f t="shared" si="102"/>
        <v>224.23550600000036</v>
      </c>
    </row>
    <row r="305" spans="1:15" x14ac:dyDescent="0.3">
      <c r="A305" s="347" t="s">
        <v>693</v>
      </c>
      <c r="B305" s="348" t="s">
        <v>694</v>
      </c>
      <c r="C305" s="349" t="s">
        <v>1655</v>
      </c>
      <c r="D305" s="350">
        <v>94.830000000000098</v>
      </c>
      <c r="E305" s="351">
        <v>0.93</v>
      </c>
      <c r="F305" s="352">
        <v>0.95000000000000095</v>
      </c>
      <c r="G305" s="2">
        <f t="shared" si="95"/>
        <v>88.191900000000089</v>
      </c>
      <c r="H305" s="353">
        <f t="shared" si="96"/>
        <v>183.02190000000019</v>
      </c>
      <c r="I305" s="9">
        <f t="shared" si="97"/>
        <v>38.434599000000041</v>
      </c>
      <c r="J305" s="354">
        <f t="shared" si="98"/>
        <v>221.45649900000024</v>
      </c>
      <c r="L305" s="153">
        <f t="shared" si="99"/>
        <v>90.088500000000181</v>
      </c>
      <c r="M305" s="353">
        <f t="shared" si="100"/>
        <v>184.91850000000028</v>
      </c>
      <c r="N305" s="9">
        <f t="shared" si="101"/>
        <v>38.832885000000054</v>
      </c>
      <c r="O305" s="354">
        <f t="shared" si="102"/>
        <v>223.75138500000034</v>
      </c>
    </row>
    <row r="306" spans="1:15" x14ac:dyDescent="0.3">
      <c r="A306" s="347" t="s">
        <v>697</v>
      </c>
      <c r="B306" s="348" t="s">
        <v>698</v>
      </c>
      <c r="C306" s="349" t="s">
        <v>1655</v>
      </c>
      <c r="D306" s="350">
        <v>93.6400000000001</v>
      </c>
      <c r="E306" s="351">
        <v>0.95</v>
      </c>
      <c r="F306" s="352">
        <v>0.97000000000000097</v>
      </c>
      <c r="G306" s="2">
        <f t="shared" si="95"/>
        <v>88.958000000000098</v>
      </c>
      <c r="H306" s="353">
        <f t="shared" si="96"/>
        <v>182.59800000000018</v>
      </c>
      <c r="I306" s="9">
        <f t="shared" si="97"/>
        <v>38.345580000000034</v>
      </c>
      <c r="J306" s="354">
        <f t="shared" si="98"/>
        <v>220.94358000000022</v>
      </c>
      <c r="L306" s="153">
        <f t="shared" si="99"/>
        <v>90.830800000000181</v>
      </c>
      <c r="M306" s="353">
        <f t="shared" si="100"/>
        <v>184.47080000000028</v>
      </c>
      <c r="N306" s="9">
        <f t="shared" si="101"/>
        <v>38.73886800000006</v>
      </c>
      <c r="O306" s="354">
        <f t="shared" si="102"/>
        <v>223.20966800000033</v>
      </c>
    </row>
    <row r="307" spans="1:15" x14ac:dyDescent="0.3">
      <c r="A307" s="347" t="s">
        <v>701</v>
      </c>
      <c r="B307" s="348" t="s">
        <v>702</v>
      </c>
      <c r="C307" s="349" t="s">
        <v>1655</v>
      </c>
      <c r="D307" s="350">
        <v>92.450000000000102</v>
      </c>
      <c r="E307" s="351">
        <v>0.97</v>
      </c>
      <c r="F307" s="352">
        <v>0.99000000000000099</v>
      </c>
      <c r="G307" s="2">
        <f t="shared" si="95"/>
        <v>89.676500000000104</v>
      </c>
      <c r="H307" s="353">
        <f t="shared" si="96"/>
        <v>182.12650000000019</v>
      </c>
      <c r="I307" s="9">
        <f t="shared" si="97"/>
        <v>38.246565000000039</v>
      </c>
      <c r="J307" s="354">
        <f t="shared" si="98"/>
        <v>220.37306500000022</v>
      </c>
      <c r="L307" s="153">
        <f t="shared" si="99"/>
        <v>91.525500000000193</v>
      </c>
      <c r="M307" s="353">
        <f t="shared" si="100"/>
        <v>183.9755000000003</v>
      </c>
      <c r="N307" s="9">
        <f t="shared" si="101"/>
        <v>38.634855000000059</v>
      </c>
      <c r="O307" s="354">
        <f t="shared" si="102"/>
        <v>222.61035500000037</v>
      </c>
    </row>
    <row r="308" spans="1:15" x14ac:dyDescent="0.3">
      <c r="A308" s="347" t="s">
        <v>703</v>
      </c>
      <c r="B308" s="348" t="s">
        <v>704</v>
      </c>
      <c r="C308" s="349" t="s">
        <v>1655</v>
      </c>
      <c r="D308" s="350">
        <v>91.260000000000105</v>
      </c>
      <c r="E308" s="351">
        <v>0.99</v>
      </c>
      <c r="F308" s="352">
        <v>1.01</v>
      </c>
      <c r="G308" s="2">
        <f t="shared" si="95"/>
        <v>90.347400000000107</v>
      </c>
      <c r="H308" s="353">
        <f t="shared" si="96"/>
        <v>181.60740000000021</v>
      </c>
      <c r="I308" s="9">
        <f t="shared" si="97"/>
        <v>38.137554000000044</v>
      </c>
      <c r="J308" s="354">
        <f t="shared" si="98"/>
        <v>219.74495400000026</v>
      </c>
      <c r="L308" s="153">
        <f t="shared" si="99"/>
        <v>92.172600000000102</v>
      </c>
      <c r="M308" s="353">
        <f t="shared" si="100"/>
        <v>183.43260000000021</v>
      </c>
      <c r="N308" s="9">
        <f t="shared" si="101"/>
        <v>38.520846000000041</v>
      </c>
      <c r="O308" s="354">
        <f t="shared" si="102"/>
        <v>221.95344600000024</v>
      </c>
    </row>
    <row r="309" spans="1:15" x14ac:dyDescent="0.3">
      <c r="A309" s="347" t="s">
        <v>705</v>
      </c>
      <c r="B309" s="348" t="s">
        <v>706</v>
      </c>
      <c r="C309" s="349" t="s">
        <v>1655</v>
      </c>
      <c r="D309" s="350">
        <v>90.070000000000107</v>
      </c>
      <c r="E309" s="351">
        <v>1.01</v>
      </c>
      <c r="F309" s="352">
        <v>1.03</v>
      </c>
      <c r="G309" s="2">
        <f t="shared" si="95"/>
        <v>90.970700000000107</v>
      </c>
      <c r="H309" s="353">
        <f t="shared" si="96"/>
        <v>181.04070000000021</v>
      </c>
      <c r="I309" s="9">
        <f t="shared" si="97"/>
        <v>38.018547000000041</v>
      </c>
      <c r="J309" s="354">
        <f t="shared" si="98"/>
        <v>219.05924700000025</v>
      </c>
      <c r="L309" s="153">
        <f t="shared" si="99"/>
        <v>92.772100000000108</v>
      </c>
      <c r="M309" s="353">
        <f t="shared" si="100"/>
        <v>182.84210000000022</v>
      </c>
      <c r="N309" s="9">
        <f t="shared" si="101"/>
        <v>38.396841000000045</v>
      </c>
      <c r="O309" s="354">
        <f t="shared" si="102"/>
        <v>221.23894100000027</v>
      </c>
    </row>
    <row r="310" spans="1:15" x14ac:dyDescent="0.3">
      <c r="A310" s="347" t="s">
        <v>728</v>
      </c>
      <c r="B310" s="348" t="s">
        <v>729</v>
      </c>
      <c r="C310" s="349" t="s">
        <v>1655</v>
      </c>
      <c r="D310" s="350">
        <v>88.880000000000095</v>
      </c>
      <c r="E310" s="351">
        <v>1.03</v>
      </c>
      <c r="F310" s="352">
        <v>1.05</v>
      </c>
      <c r="G310" s="2">
        <f t="shared" si="95"/>
        <v>91.546400000000105</v>
      </c>
      <c r="H310" s="353">
        <f t="shared" si="96"/>
        <v>180.4264000000002</v>
      </c>
      <c r="I310" s="9">
        <f t="shared" si="97"/>
        <v>37.889544000000043</v>
      </c>
      <c r="J310" s="354">
        <f t="shared" si="98"/>
        <v>218.31594400000023</v>
      </c>
      <c r="L310" s="153">
        <f t="shared" si="99"/>
        <v>93.324000000000098</v>
      </c>
      <c r="M310" s="353">
        <f t="shared" si="100"/>
        <v>182.20400000000018</v>
      </c>
      <c r="N310" s="9">
        <f t="shared" si="101"/>
        <v>38.262840000000033</v>
      </c>
      <c r="O310" s="354">
        <f t="shared" si="102"/>
        <v>220.46684000000022</v>
      </c>
    </row>
    <row r="311" spans="1:15" x14ac:dyDescent="0.3">
      <c r="A311" s="347" t="s">
        <v>730</v>
      </c>
      <c r="B311" s="348" t="s">
        <v>731</v>
      </c>
      <c r="C311" s="349" t="s">
        <v>1655</v>
      </c>
      <c r="D311" s="350">
        <v>87.690000000000097</v>
      </c>
      <c r="E311" s="351">
        <v>1.05</v>
      </c>
      <c r="F311" s="352">
        <v>1.07</v>
      </c>
      <c r="G311" s="2">
        <f t="shared" si="95"/>
        <v>92.0745000000001</v>
      </c>
      <c r="H311" s="353">
        <f t="shared" si="96"/>
        <v>179.7645000000002</v>
      </c>
      <c r="I311" s="9">
        <f t="shared" si="97"/>
        <v>37.750545000000038</v>
      </c>
      <c r="J311" s="354">
        <f t="shared" si="98"/>
        <v>217.51504500000024</v>
      </c>
      <c r="L311" s="153">
        <f t="shared" si="99"/>
        <v>93.828300000000112</v>
      </c>
      <c r="M311" s="353">
        <f t="shared" si="100"/>
        <v>181.51830000000021</v>
      </c>
      <c r="N311" s="9">
        <f t="shared" si="101"/>
        <v>38.118843000000041</v>
      </c>
      <c r="O311" s="354">
        <f t="shared" si="102"/>
        <v>219.63714300000026</v>
      </c>
    </row>
    <row r="312" spans="1:15" x14ac:dyDescent="0.3">
      <c r="A312" s="347" t="s">
        <v>732</v>
      </c>
      <c r="B312" s="348" t="s">
        <v>733</v>
      </c>
      <c r="C312" s="349" t="s">
        <v>1655</v>
      </c>
      <c r="D312" s="350">
        <v>86.500000000000099</v>
      </c>
      <c r="E312" s="351">
        <v>1.07</v>
      </c>
      <c r="F312" s="352">
        <v>1.0900000000000001</v>
      </c>
      <c r="G312" s="2">
        <f t="shared" si="95"/>
        <v>92.555000000000106</v>
      </c>
      <c r="H312" s="353">
        <f t="shared" si="96"/>
        <v>179.05500000000021</v>
      </c>
      <c r="I312" s="9">
        <f t="shared" si="97"/>
        <v>37.601550000000039</v>
      </c>
      <c r="J312" s="354">
        <f t="shared" si="98"/>
        <v>216.65655000000024</v>
      </c>
      <c r="L312" s="153">
        <f t="shared" si="99"/>
        <v>94.28500000000011</v>
      </c>
      <c r="M312" s="353">
        <f t="shared" si="100"/>
        <v>180.7850000000002</v>
      </c>
      <c r="N312" s="9">
        <f t="shared" si="101"/>
        <v>37.964850000000041</v>
      </c>
      <c r="O312" s="354">
        <f t="shared" si="102"/>
        <v>218.74985000000024</v>
      </c>
    </row>
    <row r="313" spans="1:15" x14ac:dyDescent="0.3">
      <c r="A313" s="347" t="s">
        <v>734</v>
      </c>
      <c r="B313" s="348" t="s">
        <v>735</v>
      </c>
      <c r="C313" s="349" t="s">
        <v>1655</v>
      </c>
      <c r="D313" s="350">
        <v>85.310000000000102</v>
      </c>
      <c r="E313" s="351">
        <v>1.0900000000000001</v>
      </c>
      <c r="F313" s="352">
        <v>1.1100000000000001</v>
      </c>
      <c r="G313" s="2">
        <f t="shared" si="95"/>
        <v>92.987900000000124</v>
      </c>
      <c r="H313" s="353">
        <f t="shared" si="96"/>
        <v>178.29790000000023</v>
      </c>
      <c r="I313" s="9">
        <f t="shared" si="97"/>
        <v>37.442559000000045</v>
      </c>
      <c r="J313" s="354">
        <f t="shared" si="98"/>
        <v>215.74045900000027</v>
      </c>
      <c r="L313" s="153">
        <f t="shared" si="99"/>
        <v>94.69410000000012</v>
      </c>
      <c r="M313" s="353">
        <f t="shared" si="100"/>
        <v>180.00410000000022</v>
      </c>
      <c r="N313" s="9">
        <f t="shared" si="101"/>
        <v>37.800861000000047</v>
      </c>
      <c r="O313" s="354">
        <f t="shared" si="102"/>
        <v>217.80496100000028</v>
      </c>
    </row>
    <row r="314" spans="1:15" x14ac:dyDescent="0.3">
      <c r="A314" s="347" t="s">
        <v>736</v>
      </c>
      <c r="B314" s="348" t="s">
        <v>1298</v>
      </c>
      <c r="C314" s="349" t="s">
        <v>1655</v>
      </c>
      <c r="D314" s="350">
        <v>84.120000000000104</v>
      </c>
      <c r="E314" s="351">
        <v>1.1100000000000001</v>
      </c>
      <c r="F314" s="352">
        <v>1.1299999999999999</v>
      </c>
      <c r="G314" s="2">
        <f t="shared" si="95"/>
        <v>93.373200000000125</v>
      </c>
      <c r="H314" s="353">
        <f t="shared" si="96"/>
        <v>177.49320000000023</v>
      </c>
      <c r="I314" s="9">
        <f t="shared" si="97"/>
        <v>37.273572000000044</v>
      </c>
      <c r="J314" s="354">
        <f t="shared" si="98"/>
        <v>214.76677200000029</v>
      </c>
      <c r="L314" s="153">
        <f t="shared" si="99"/>
        <v>95.055600000000112</v>
      </c>
      <c r="M314" s="353">
        <f t="shared" si="100"/>
        <v>179.1756000000002</v>
      </c>
      <c r="N314" s="9">
        <f t="shared" si="101"/>
        <v>37.626876000000038</v>
      </c>
      <c r="O314" s="354">
        <f t="shared" si="102"/>
        <v>216.80247600000024</v>
      </c>
    </row>
    <row r="315" spans="1:15" x14ac:dyDescent="0.3">
      <c r="A315" s="347" t="s">
        <v>737</v>
      </c>
      <c r="B315" s="348" t="s">
        <v>738</v>
      </c>
      <c r="C315" s="349" t="s">
        <v>1655</v>
      </c>
      <c r="D315" s="350">
        <v>82.930000000000106</v>
      </c>
      <c r="E315" s="351">
        <v>1.1299999999999999</v>
      </c>
      <c r="F315" s="352">
        <v>1.1499999999999999</v>
      </c>
      <c r="G315" s="2">
        <f t="shared" si="95"/>
        <v>93.710900000000109</v>
      </c>
      <c r="H315" s="353">
        <f t="shared" si="96"/>
        <v>176.64090000000022</v>
      </c>
      <c r="I315" s="9">
        <f t="shared" si="97"/>
        <v>37.094589000000042</v>
      </c>
      <c r="J315" s="354">
        <f t="shared" si="98"/>
        <v>213.73548900000026</v>
      </c>
      <c r="L315" s="153">
        <f t="shared" si="99"/>
        <v>95.369500000000116</v>
      </c>
      <c r="M315" s="353">
        <f t="shared" si="100"/>
        <v>178.29950000000022</v>
      </c>
      <c r="N315" s="9">
        <f t="shared" si="101"/>
        <v>37.442895000000043</v>
      </c>
      <c r="O315" s="354">
        <f t="shared" si="102"/>
        <v>215.74239500000027</v>
      </c>
    </row>
    <row r="316" spans="1:15" x14ac:dyDescent="0.3">
      <c r="A316" s="347" t="s">
        <v>741</v>
      </c>
      <c r="B316" s="348" t="s">
        <v>742</v>
      </c>
      <c r="C316" s="349" t="s">
        <v>1655</v>
      </c>
      <c r="D316" s="350">
        <v>81.740000000000094</v>
      </c>
      <c r="E316" s="351">
        <v>1.1499999999999999</v>
      </c>
      <c r="F316" s="352">
        <v>1.17</v>
      </c>
      <c r="G316" s="2">
        <f t="shared" si="95"/>
        <v>94.001000000000104</v>
      </c>
      <c r="H316" s="353">
        <f t="shared" si="96"/>
        <v>175.74100000000021</v>
      </c>
      <c r="I316" s="9">
        <f t="shared" si="97"/>
        <v>36.905610000000046</v>
      </c>
      <c r="J316" s="354">
        <f t="shared" si="98"/>
        <v>212.64661000000027</v>
      </c>
      <c r="L316" s="153">
        <f t="shared" si="99"/>
        <v>95.635800000000103</v>
      </c>
      <c r="M316" s="353">
        <f t="shared" si="100"/>
        <v>177.3758000000002</v>
      </c>
      <c r="N316" s="9">
        <f t="shared" si="101"/>
        <v>37.248918000000039</v>
      </c>
      <c r="O316" s="354">
        <f t="shared" si="102"/>
        <v>214.62471800000023</v>
      </c>
    </row>
    <row r="317" spans="1:15" x14ac:dyDescent="0.3">
      <c r="A317" s="347" t="s">
        <v>743</v>
      </c>
      <c r="B317" s="348" t="s">
        <v>744</v>
      </c>
      <c r="C317" s="349" t="s">
        <v>1655</v>
      </c>
      <c r="D317" s="350">
        <v>80.550000000000097</v>
      </c>
      <c r="E317" s="351">
        <v>1.17</v>
      </c>
      <c r="F317" s="352">
        <v>1.19</v>
      </c>
      <c r="G317" s="2">
        <f t="shared" si="95"/>
        <v>94.243500000000111</v>
      </c>
      <c r="H317" s="353">
        <f t="shared" si="96"/>
        <v>174.79350000000022</v>
      </c>
      <c r="I317" s="9">
        <f t="shared" si="97"/>
        <v>36.706635000000048</v>
      </c>
      <c r="J317" s="354">
        <f t="shared" si="98"/>
        <v>211.50013500000028</v>
      </c>
      <c r="L317" s="153">
        <f t="shared" si="99"/>
        <v>95.854500000000115</v>
      </c>
      <c r="M317" s="353">
        <f t="shared" si="100"/>
        <v>176.40450000000021</v>
      </c>
      <c r="N317" s="9">
        <f t="shared" si="101"/>
        <v>37.044945000000041</v>
      </c>
      <c r="O317" s="354">
        <f t="shared" si="102"/>
        <v>213.44944500000025</v>
      </c>
    </row>
    <row r="318" spans="1:15" x14ac:dyDescent="0.3">
      <c r="A318" s="347" t="s">
        <v>768</v>
      </c>
      <c r="B318" s="348" t="s">
        <v>769</v>
      </c>
      <c r="C318" s="349" t="s">
        <v>1655</v>
      </c>
      <c r="D318" s="350">
        <v>79.360000000000099</v>
      </c>
      <c r="E318" s="351">
        <v>1.19</v>
      </c>
      <c r="F318" s="352">
        <v>1.21</v>
      </c>
      <c r="G318" s="2">
        <f t="shared" si="95"/>
        <v>94.438400000000115</v>
      </c>
      <c r="H318" s="353">
        <f t="shared" si="96"/>
        <v>173.79840000000021</v>
      </c>
      <c r="I318" s="9">
        <f t="shared" si="97"/>
        <v>36.497664000000043</v>
      </c>
      <c r="J318" s="354">
        <f t="shared" si="98"/>
        <v>210.29606400000026</v>
      </c>
      <c r="L318" s="153">
        <f t="shared" si="99"/>
        <v>96.025600000000111</v>
      </c>
      <c r="M318" s="353">
        <f t="shared" si="100"/>
        <v>175.38560000000021</v>
      </c>
      <c r="N318" s="9">
        <f t="shared" si="101"/>
        <v>36.830976000000042</v>
      </c>
      <c r="O318" s="354">
        <f t="shared" si="102"/>
        <v>212.21657600000026</v>
      </c>
    </row>
    <row r="319" spans="1:15" x14ac:dyDescent="0.3">
      <c r="A319" s="347" t="s">
        <v>829</v>
      </c>
      <c r="B319" s="348" t="s">
        <v>830</v>
      </c>
      <c r="C319" s="349" t="s">
        <v>1655</v>
      </c>
      <c r="D319" s="350">
        <v>78.170000000000101</v>
      </c>
      <c r="E319" s="351">
        <v>1.21</v>
      </c>
      <c r="F319" s="352">
        <v>1.23</v>
      </c>
      <c r="G319" s="2">
        <f t="shared" si="95"/>
        <v>94.585700000000116</v>
      </c>
      <c r="H319" s="353">
        <f t="shared" si="96"/>
        <v>172.75570000000022</v>
      </c>
      <c r="I319" s="9">
        <f t="shared" si="97"/>
        <v>36.278697000000044</v>
      </c>
      <c r="J319" s="354">
        <f t="shared" si="98"/>
        <v>209.03439700000027</v>
      </c>
      <c r="L319" s="153">
        <f t="shared" si="99"/>
        <v>96.149100000000118</v>
      </c>
      <c r="M319" s="353">
        <f t="shared" si="100"/>
        <v>174.31910000000022</v>
      </c>
      <c r="N319" s="9">
        <f t="shared" si="101"/>
        <v>36.607011000000043</v>
      </c>
      <c r="O319" s="354">
        <f t="shared" si="102"/>
        <v>210.92611100000028</v>
      </c>
    </row>
    <row r="320" spans="1:15" x14ac:dyDescent="0.3">
      <c r="A320" s="347" t="s">
        <v>832</v>
      </c>
      <c r="B320" s="348" t="s">
        <v>833</v>
      </c>
      <c r="C320" s="349" t="s">
        <v>1655</v>
      </c>
      <c r="D320" s="350">
        <v>76.980000000000103</v>
      </c>
      <c r="E320" s="351">
        <v>1.23</v>
      </c>
      <c r="F320" s="352">
        <v>1.25</v>
      </c>
      <c r="G320" s="2">
        <f t="shared" si="95"/>
        <v>94.685400000000129</v>
      </c>
      <c r="H320" s="353">
        <f t="shared" si="96"/>
        <v>171.66540000000023</v>
      </c>
      <c r="I320" s="9">
        <f t="shared" si="97"/>
        <v>36.049734000000051</v>
      </c>
      <c r="J320" s="354">
        <f t="shared" si="98"/>
        <v>207.71513400000029</v>
      </c>
      <c r="L320" s="153">
        <f t="shared" si="99"/>
        <v>96.225000000000136</v>
      </c>
      <c r="M320" s="353">
        <f t="shared" si="100"/>
        <v>173.20500000000024</v>
      </c>
      <c r="N320" s="9">
        <f t="shared" si="101"/>
        <v>36.373050000000049</v>
      </c>
      <c r="O320" s="354">
        <f t="shared" si="102"/>
        <v>209.5780500000003</v>
      </c>
    </row>
    <row r="321" spans="1:15" x14ac:dyDescent="0.3">
      <c r="A321" s="347" t="s">
        <v>835</v>
      </c>
      <c r="B321" s="348" t="s">
        <v>836</v>
      </c>
      <c r="C321" s="349" t="s">
        <v>1655</v>
      </c>
      <c r="D321" s="350">
        <v>75.790000000000106</v>
      </c>
      <c r="E321" s="351">
        <v>1.25</v>
      </c>
      <c r="F321" s="352">
        <v>1.27</v>
      </c>
      <c r="G321" s="2">
        <f t="shared" si="95"/>
        <v>94.737500000000125</v>
      </c>
      <c r="H321" s="353">
        <f t="shared" si="96"/>
        <v>170.52750000000023</v>
      </c>
      <c r="I321" s="9">
        <f t="shared" si="97"/>
        <v>35.810775000000049</v>
      </c>
      <c r="J321" s="354">
        <f t="shared" si="98"/>
        <v>206.33827500000029</v>
      </c>
      <c r="L321" s="153">
        <f t="shared" si="99"/>
        <v>96.253300000000138</v>
      </c>
      <c r="M321" s="353">
        <f t="shared" si="100"/>
        <v>172.04330000000024</v>
      </c>
      <c r="N321" s="9">
        <f t="shared" si="101"/>
        <v>36.129093000000047</v>
      </c>
      <c r="O321" s="354">
        <f t="shared" si="102"/>
        <v>208.17239300000028</v>
      </c>
    </row>
    <row r="322" spans="1:15" x14ac:dyDescent="0.3">
      <c r="A322" s="347" t="s">
        <v>837</v>
      </c>
      <c r="B322" s="348" t="s">
        <v>838</v>
      </c>
      <c r="C322" s="349" t="s">
        <v>1655</v>
      </c>
      <c r="D322" s="350">
        <v>74.600000000000094</v>
      </c>
      <c r="E322" s="351">
        <v>1.27</v>
      </c>
      <c r="F322" s="352">
        <v>1.29</v>
      </c>
      <c r="G322" s="2">
        <f t="shared" si="95"/>
        <v>94.742000000000118</v>
      </c>
      <c r="H322" s="353">
        <f t="shared" si="96"/>
        <v>169.34200000000021</v>
      </c>
      <c r="I322" s="9">
        <f t="shared" si="97"/>
        <v>35.56182000000004</v>
      </c>
      <c r="J322" s="354">
        <f t="shared" si="98"/>
        <v>204.90382000000025</v>
      </c>
      <c r="L322" s="153">
        <f t="shared" si="99"/>
        <v>96.234000000000123</v>
      </c>
      <c r="M322" s="353">
        <f t="shared" si="100"/>
        <v>170.83400000000023</v>
      </c>
      <c r="N322" s="9">
        <f t="shared" si="101"/>
        <v>35.875140000000044</v>
      </c>
      <c r="O322" s="354">
        <f t="shared" si="102"/>
        <v>206.70914000000027</v>
      </c>
    </row>
    <row r="323" spans="1:15" x14ac:dyDescent="0.3">
      <c r="A323" s="347" t="s">
        <v>839</v>
      </c>
      <c r="B323" s="348" t="s">
        <v>840</v>
      </c>
      <c r="C323" s="349" t="s">
        <v>1655</v>
      </c>
      <c r="D323" s="350">
        <v>73.410000000000096</v>
      </c>
      <c r="E323" s="351">
        <v>1.29</v>
      </c>
      <c r="F323" s="352">
        <v>1.31</v>
      </c>
      <c r="G323" s="2">
        <f t="shared" si="95"/>
        <v>94.698900000000123</v>
      </c>
      <c r="H323" s="353">
        <f t="shared" si="96"/>
        <v>168.10890000000023</v>
      </c>
      <c r="I323" s="9">
        <f t="shared" si="97"/>
        <v>35.302869000000051</v>
      </c>
      <c r="J323" s="354">
        <f t="shared" si="98"/>
        <v>203.41176900000028</v>
      </c>
      <c r="L323" s="153">
        <f t="shared" si="99"/>
        <v>96.167100000000133</v>
      </c>
      <c r="M323" s="353">
        <f t="shared" si="100"/>
        <v>169.57710000000023</v>
      </c>
      <c r="N323" s="9">
        <f t="shared" si="101"/>
        <v>35.611191000000048</v>
      </c>
      <c r="O323" s="354">
        <f t="shared" si="102"/>
        <v>205.18829100000028</v>
      </c>
    </row>
    <row r="324" spans="1:15" x14ac:dyDescent="0.3">
      <c r="A324" s="347" t="s">
        <v>844</v>
      </c>
      <c r="B324" s="348" t="s">
        <v>845</v>
      </c>
      <c r="C324" s="349" t="s">
        <v>1655</v>
      </c>
      <c r="D324" s="350">
        <v>72.220000000000098</v>
      </c>
      <c r="E324" s="351">
        <v>1.31</v>
      </c>
      <c r="F324" s="352">
        <v>1.33</v>
      </c>
      <c r="G324" s="2">
        <f t="shared" si="95"/>
        <v>94.608200000000139</v>
      </c>
      <c r="H324" s="353">
        <f t="shared" si="96"/>
        <v>166.82820000000024</v>
      </c>
      <c r="I324" s="9">
        <f t="shared" si="97"/>
        <v>35.033922000000047</v>
      </c>
      <c r="J324" s="354">
        <f t="shared" si="98"/>
        <v>201.86212200000028</v>
      </c>
      <c r="L324" s="153">
        <f t="shared" si="99"/>
        <v>96.05260000000014</v>
      </c>
      <c r="M324" s="353">
        <f t="shared" si="100"/>
        <v>168.27260000000024</v>
      </c>
      <c r="N324" s="9">
        <f t="shared" si="101"/>
        <v>35.33724600000005</v>
      </c>
      <c r="O324" s="354">
        <f t="shared" si="102"/>
        <v>203.60984600000029</v>
      </c>
    </row>
    <row r="325" spans="1:15" x14ac:dyDescent="0.3">
      <c r="A325" s="347" t="s">
        <v>846</v>
      </c>
      <c r="B325" s="348" t="s">
        <v>847</v>
      </c>
      <c r="C325" s="349" t="s">
        <v>1655</v>
      </c>
      <c r="D325" s="350">
        <v>71.030000000000101</v>
      </c>
      <c r="E325" s="351">
        <v>1.33</v>
      </c>
      <c r="F325" s="352">
        <v>1.35</v>
      </c>
      <c r="G325" s="2">
        <f t="shared" si="95"/>
        <v>94.469900000000138</v>
      </c>
      <c r="H325" s="353">
        <f t="shared" si="96"/>
        <v>165.49990000000025</v>
      </c>
      <c r="I325" s="9">
        <f t="shared" si="97"/>
        <v>34.754979000000048</v>
      </c>
      <c r="J325" s="354">
        <f t="shared" si="98"/>
        <v>200.2548790000003</v>
      </c>
      <c r="L325" s="153">
        <f t="shared" si="99"/>
        <v>95.890500000000145</v>
      </c>
      <c r="M325" s="353">
        <f t="shared" si="100"/>
        <v>166.92050000000023</v>
      </c>
      <c r="N325" s="9">
        <f t="shared" si="101"/>
        <v>35.053305000000044</v>
      </c>
      <c r="O325" s="354">
        <f t="shared" si="102"/>
        <v>201.97380500000028</v>
      </c>
    </row>
    <row r="326" spans="1:15" x14ac:dyDescent="0.3">
      <c r="A326" s="347" t="s">
        <v>848</v>
      </c>
      <c r="B326" s="348" t="s">
        <v>849</v>
      </c>
      <c r="C326" s="349" t="s">
        <v>1655</v>
      </c>
      <c r="D326" s="350">
        <v>69.840000000000103</v>
      </c>
      <c r="E326" s="351">
        <v>1.35</v>
      </c>
      <c r="F326" s="352">
        <v>1.37</v>
      </c>
      <c r="G326" s="2">
        <f t="shared" si="95"/>
        <v>94.284000000000148</v>
      </c>
      <c r="H326" s="353">
        <f t="shared" si="96"/>
        <v>164.12400000000025</v>
      </c>
      <c r="I326" s="9">
        <f t="shared" si="97"/>
        <v>34.466040000000049</v>
      </c>
      <c r="J326" s="354">
        <f t="shared" si="98"/>
        <v>198.5900400000003</v>
      </c>
      <c r="L326" s="153">
        <f t="shared" si="99"/>
        <v>95.680800000000147</v>
      </c>
      <c r="M326" s="353">
        <f t="shared" si="100"/>
        <v>165.52080000000024</v>
      </c>
      <c r="N326" s="9">
        <f t="shared" si="101"/>
        <v>34.759368000000045</v>
      </c>
      <c r="O326" s="354">
        <f t="shared" si="102"/>
        <v>200.28016800000029</v>
      </c>
    </row>
    <row r="327" spans="1:15" x14ac:dyDescent="0.3">
      <c r="A327" s="347" t="s">
        <v>850</v>
      </c>
      <c r="B327" s="348" t="s">
        <v>851</v>
      </c>
      <c r="C327" s="349" t="s">
        <v>1655</v>
      </c>
      <c r="D327" s="350">
        <v>68.650000000000105</v>
      </c>
      <c r="E327" s="351">
        <v>1.37</v>
      </c>
      <c r="F327" s="352">
        <v>1.39</v>
      </c>
      <c r="G327" s="2">
        <f t="shared" si="95"/>
        <v>94.050500000000156</v>
      </c>
      <c r="H327" s="353">
        <f t="shared" si="96"/>
        <v>162.70050000000026</v>
      </c>
      <c r="I327" s="9">
        <f t="shared" si="97"/>
        <v>34.167105000000056</v>
      </c>
      <c r="J327" s="354">
        <f t="shared" si="98"/>
        <v>196.86760500000031</v>
      </c>
      <c r="L327" s="153">
        <f t="shared" si="99"/>
        <v>95.423500000000146</v>
      </c>
      <c r="M327" s="353">
        <f t="shared" si="100"/>
        <v>164.07350000000025</v>
      </c>
      <c r="N327" s="9">
        <f t="shared" si="101"/>
        <v>34.455435000000051</v>
      </c>
      <c r="O327" s="354">
        <f t="shared" si="102"/>
        <v>198.5289350000003</v>
      </c>
    </row>
    <row r="328" spans="1:15" x14ac:dyDescent="0.3">
      <c r="A328" s="347" t="s">
        <v>862</v>
      </c>
      <c r="B328" s="348" t="s">
        <v>866</v>
      </c>
      <c r="C328" s="349" t="s">
        <v>1655</v>
      </c>
      <c r="D328" s="350">
        <v>67.460000000000093</v>
      </c>
      <c r="E328" s="351">
        <v>1.39</v>
      </c>
      <c r="F328" s="352">
        <v>1.41</v>
      </c>
      <c r="G328" s="2">
        <f t="shared" si="95"/>
        <v>93.769400000000118</v>
      </c>
      <c r="H328" s="353">
        <f t="shared" si="96"/>
        <v>161.22940000000023</v>
      </c>
      <c r="I328" s="9">
        <f t="shared" si="97"/>
        <v>33.858174000000048</v>
      </c>
      <c r="J328" s="354">
        <f t="shared" si="98"/>
        <v>195.08757400000027</v>
      </c>
      <c r="L328" s="153">
        <f t="shared" si="99"/>
        <v>95.118600000000129</v>
      </c>
      <c r="M328" s="353">
        <f t="shared" si="100"/>
        <v>162.57860000000022</v>
      </c>
      <c r="N328" s="9">
        <f t="shared" si="101"/>
        <v>34.141506000000042</v>
      </c>
      <c r="O328" s="354">
        <f t="shared" si="102"/>
        <v>196.72010600000027</v>
      </c>
    </row>
    <row r="329" spans="1:15" x14ac:dyDescent="0.3">
      <c r="A329" s="347" t="s">
        <v>863</v>
      </c>
      <c r="B329" s="348" t="s">
        <v>865</v>
      </c>
      <c r="C329" s="349" t="s">
        <v>1655</v>
      </c>
      <c r="D329" s="350">
        <v>66.270000000000095</v>
      </c>
      <c r="E329" s="351">
        <v>1.41</v>
      </c>
      <c r="F329" s="352">
        <v>1.43</v>
      </c>
      <c r="G329" s="2">
        <f t="shared" ref="G329:G371" si="103">D329*E329</f>
        <v>93.440700000000135</v>
      </c>
      <c r="H329" s="353">
        <f t="shared" ref="H329:H371" si="104">G329+D329</f>
        <v>159.71070000000023</v>
      </c>
      <c r="I329" s="9">
        <f t="shared" ref="I329:I371" si="105">H329*0.21</f>
        <v>33.539247000000046</v>
      </c>
      <c r="J329" s="354">
        <f t="shared" ref="J329:J371" si="106">H329+I329</f>
        <v>193.24994700000028</v>
      </c>
      <c r="L329" s="153">
        <f t="shared" ref="L329:L379" si="107">D329*F329</f>
        <v>94.766100000000137</v>
      </c>
      <c r="M329" s="353">
        <f t="shared" ref="M329:M379" si="108">D329+L329</f>
        <v>161.03610000000023</v>
      </c>
      <c r="N329" s="9">
        <f t="shared" ref="N329:N379" si="109">M329*0.21</f>
        <v>33.817581000000047</v>
      </c>
      <c r="O329" s="354">
        <f t="shared" ref="O329:O379" si="110">M329+N329</f>
        <v>194.85368100000028</v>
      </c>
    </row>
    <row r="330" spans="1:15" x14ac:dyDescent="0.3">
      <c r="A330" s="347" t="s">
        <v>864</v>
      </c>
      <c r="B330" s="348" t="s">
        <v>869</v>
      </c>
      <c r="C330" s="349" t="s">
        <v>1655</v>
      </c>
      <c r="D330" s="350">
        <v>65.080000000000098</v>
      </c>
      <c r="E330" s="351">
        <v>1.43</v>
      </c>
      <c r="F330" s="352">
        <v>1.45</v>
      </c>
      <c r="G330" s="2">
        <f t="shared" si="103"/>
        <v>93.064400000000134</v>
      </c>
      <c r="H330" s="353">
        <f t="shared" si="104"/>
        <v>158.14440000000025</v>
      </c>
      <c r="I330" s="9">
        <f t="shared" si="105"/>
        <v>33.21032400000005</v>
      </c>
      <c r="J330" s="354">
        <f t="shared" si="106"/>
        <v>191.35472400000029</v>
      </c>
      <c r="L330" s="153">
        <f t="shared" si="107"/>
        <v>94.366000000000142</v>
      </c>
      <c r="M330" s="353">
        <f t="shared" si="108"/>
        <v>159.44600000000025</v>
      </c>
      <c r="N330" s="9">
        <f t="shared" si="109"/>
        <v>33.48366000000005</v>
      </c>
      <c r="O330" s="354">
        <f t="shared" si="110"/>
        <v>192.9296600000003</v>
      </c>
    </row>
    <row r="331" spans="1:15" x14ac:dyDescent="0.3">
      <c r="A331" s="347" t="s">
        <v>867</v>
      </c>
      <c r="B331" s="348" t="s">
        <v>868</v>
      </c>
      <c r="C331" s="349" t="s">
        <v>1655</v>
      </c>
      <c r="D331" s="350">
        <v>63.8900000000002</v>
      </c>
      <c r="E331" s="351">
        <v>1.45</v>
      </c>
      <c r="F331" s="352">
        <v>1.47</v>
      </c>
      <c r="G331" s="2">
        <f t="shared" si="103"/>
        <v>92.640500000000287</v>
      </c>
      <c r="H331" s="353">
        <f t="shared" si="104"/>
        <v>156.53050000000047</v>
      </c>
      <c r="I331" s="9">
        <f t="shared" si="105"/>
        <v>32.871405000000095</v>
      </c>
      <c r="J331" s="354">
        <f t="shared" si="106"/>
        <v>189.40190500000057</v>
      </c>
      <c r="L331" s="153">
        <f t="shared" si="107"/>
        <v>93.918300000000286</v>
      </c>
      <c r="M331" s="353">
        <f t="shared" si="108"/>
        <v>157.80830000000049</v>
      </c>
      <c r="N331" s="9">
        <f t="shared" si="109"/>
        <v>33.139743000000102</v>
      </c>
      <c r="O331" s="354">
        <f t="shared" si="110"/>
        <v>190.94804300000058</v>
      </c>
    </row>
    <row r="332" spans="1:15" x14ac:dyDescent="0.3">
      <c r="A332" s="347" t="s">
        <v>870</v>
      </c>
      <c r="B332" s="348" t="s">
        <v>871</v>
      </c>
      <c r="C332" s="349" t="s">
        <v>1655</v>
      </c>
      <c r="D332" s="350">
        <v>62.700000000000202</v>
      </c>
      <c r="E332" s="351">
        <v>1.47</v>
      </c>
      <c r="F332" s="352">
        <v>1.49</v>
      </c>
      <c r="G332" s="2">
        <f t="shared" si="103"/>
        <v>92.169000000000295</v>
      </c>
      <c r="H332" s="353">
        <f t="shared" si="104"/>
        <v>154.86900000000048</v>
      </c>
      <c r="I332" s="9">
        <f t="shared" si="105"/>
        <v>32.522490000000097</v>
      </c>
      <c r="J332" s="354">
        <f t="shared" si="106"/>
        <v>187.39149000000057</v>
      </c>
      <c r="L332" s="153">
        <f t="shared" si="107"/>
        <v>93.4230000000003</v>
      </c>
      <c r="M332" s="353">
        <f t="shared" si="108"/>
        <v>156.1230000000005</v>
      </c>
      <c r="N332" s="9">
        <f t="shared" si="109"/>
        <v>32.785830000000104</v>
      </c>
      <c r="O332" s="354">
        <f t="shared" si="110"/>
        <v>188.90883000000059</v>
      </c>
    </row>
    <row r="333" spans="1:15" x14ac:dyDescent="0.3">
      <c r="A333" s="347" t="s">
        <v>874</v>
      </c>
      <c r="B333" s="348" t="s">
        <v>875</v>
      </c>
      <c r="C333" s="349" t="s">
        <v>1655</v>
      </c>
      <c r="D333" s="350">
        <v>61.510000000000197</v>
      </c>
      <c r="E333" s="351">
        <v>1.49</v>
      </c>
      <c r="F333" s="352">
        <v>1.51</v>
      </c>
      <c r="G333" s="2">
        <f t="shared" si="103"/>
        <v>91.649900000000287</v>
      </c>
      <c r="H333" s="353">
        <f t="shared" si="104"/>
        <v>153.15990000000048</v>
      </c>
      <c r="I333" s="9">
        <f t="shared" si="105"/>
        <v>32.163579000000098</v>
      </c>
      <c r="J333" s="354">
        <f t="shared" si="106"/>
        <v>185.32347900000059</v>
      </c>
      <c r="L333" s="153">
        <f t="shared" si="107"/>
        <v>92.880100000000297</v>
      </c>
      <c r="M333" s="353">
        <f t="shared" si="108"/>
        <v>154.3901000000005</v>
      </c>
      <c r="N333" s="9">
        <f t="shared" si="109"/>
        <v>32.421921000000104</v>
      </c>
      <c r="O333" s="354">
        <f t="shared" si="110"/>
        <v>186.81202100000061</v>
      </c>
    </row>
    <row r="334" spans="1:15" x14ac:dyDescent="0.3">
      <c r="A334" s="347" t="s">
        <v>876</v>
      </c>
      <c r="B334" s="348" t="s">
        <v>877</v>
      </c>
      <c r="C334" s="349" t="s">
        <v>1655</v>
      </c>
      <c r="D334" s="350">
        <v>60.320000000000199</v>
      </c>
      <c r="E334" s="351">
        <v>1.51</v>
      </c>
      <c r="F334" s="352">
        <v>1.53</v>
      </c>
      <c r="G334" s="2">
        <f t="shared" si="103"/>
        <v>91.083200000000303</v>
      </c>
      <c r="H334" s="353">
        <f t="shared" si="104"/>
        <v>151.40320000000051</v>
      </c>
      <c r="I334" s="9">
        <f t="shared" si="105"/>
        <v>31.794672000000105</v>
      </c>
      <c r="J334" s="354">
        <f t="shared" si="106"/>
        <v>183.19787200000061</v>
      </c>
      <c r="L334" s="153">
        <f t="shared" si="107"/>
        <v>92.289600000000306</v>
      </c>
      <c r="M334" s="353">
        <f t="shared" si="108"/>
        <v>152.60960000000051</v>
      </c>
      <c r="N334" s="9">
        <f t="shared" si="109"/>
        <v>32.048016000000104</v>
      </c>
      <c r="O334" s="354">
        <f t="shared" si="110"/>
        <v>184.65761600000062</v>
      </c>
    </row>
    <row r="335" spans="1:15" x14ac:dyDescent="0.3">
      <c r="A335" s="347" t="s">
        <v>878</v>
      </c>
      <c r="B335" s="348" t="s">
        <v>879</v>
      </c>
      <c r="C335" s="349" t="s">
        <v>1655</v>
      </c>
      <c r="D335" s="350">
        <v>59.130000000000202</v>
      </c>
      <c r="E335" s="351">
        <v>1.53</v>
      </c>
      <c r="F335" s="352">
        <v>1.55</v>
      </c>
      <c r="G335" s="2">
        <f t="shared" si="103"/>
        <v>90.468900000000303</v>
      </c>
      <c r="H335" s="353">
        <f t="shared" si="104"/>
        <v>149.5989000000005</v>
      </c>
      <c r="I335" s="9">
        <f t="shared" si="105"/>
        <v>31.415769000000104</v>
      </c>
      <c r="J335" s="354">
        <f t="shared" si="106"/>
        <v>181.01466900000059</v>
      </c>
      <c r="L335" s="153">
        <f t="shared" si="107"/>
        <v>91.651500000000311</v>
      </c>
      <c r="M335" s="353">
        <f t="shared" si="108"/>
        <v>150.78150000000051</v>
      </c>
      <c r="N335" s="9">
        <f t="shared" si="109"/>
        <v>31.664115000000105</v>
      </c>
      <c r="O335" s="354">
        <f t="shared" si="110"/>
        <v>182.4456150000006</v>
      </c>
    </row>
    <row r="336" spans="1:15" x14ac:dyDescent="0.3">
      <c r="A336" s="347" t="s">
        <v>882</v>
      </c>
      <c r="B336" s="348" t="s">
        <v>883</v>
      </c>
      <c r="C336" s="349" t="s">
        <v>1655</v>
      </c>
      <c r="D336" s="350">
        <v>57.940000000000197</v>
      </c>
      <c r="E336" s="351">
        <v>1.55</v>
      </c>
      <c r="F336" s="352">
        <v>1.57</v>
      </c>
      <c r="G336" s="2">
        <f t="shared" si="103"/>
        <v>89.807000000000301</v>
      </c>
      <c r="H336" s="353">
        <f t="shared" si="104"/>
        <v>147.7470000000005</v>
      </c>
      <c r="I336" s="9">
        <f t="shared" si="105"/>
        <v>31.026870000000102</v>
      </c>
      <c r="J336" s="354">
        <f t="shared" si="106"/>
        <v>178.77387000000061</v>
      </c>
      <c r="L336" s="153">
        <f t="shared" si="107"/>
        <v>90.965800000000314</v>
      </c>
      <c r="M336" s="353">
        <f t="shared" si="108"/>
        <v>148.90580000000051</v>
      </c>
      <c r="N336" s="9">
        <f t="shared" si="109"/>
        <v>31.270218000000106</v>
      </c>
      <c r="O336" s="354">
        <f t="shared" si="110"/>
        <v>180.17601800000062</v>
      </c>
    </row>
    <row r="337" spans="1:15" x14ac:dyDescent="0.3">
      <c r="A337" s="347" t="s">
        <v>884</v>
      </c>
      <c r="B337" s="348" t="s">
        <v>885</v>
      </c>
      <c r="C337" s="349" t="s">
        <v>1655</v>
      </c>
      <c r="D337" s="350">
        <v>56.750000000000199</v>
      </c>
      <c r="E337" s="351">
        <v>1.57</v>
      </c>
      <c r="F337" s="352">
        <v>1.59</v>
      </c>
      <c r="G337" s="2">
        <f t="shared" si="103"/>
        <v>89.097500000000309</v>
      </c>
      <c r="H337" s="353">
        <f t="shared" si="104"/>
        <v>145.84750000000051</v>
      </c>
      <c r="I337" s="9">
        <f t="shared" si="105"/>
        <v>30.627975000000106</v>
      </c>
      <c r="J337" s="354">
        <f t="shared" si="106"/>
        <v>176.47547500000061</v>
      </c>
      <c r="L337" s="153">
        <f t="shared" si="107"/>
        <v>90.232500000000314</v>
      </c>
      <c r="M337" s="353">
        <f t="shared" si="108"/>
        <v>146.98250000000053</v>
      </c>
      <c r="N337" s="9">
        <f t="shared" si="109"/>
        <v>30.86632500000011</v>
      </c>
      <c r="O337" s="354">
        <f t="shared" si="110"/>
        <v>177.84882500000063</v>
      </c>
    </row>
    <row r="338" spans="1:15" x14ac:dyDescent="0.3">
      <c r="A338" s="347" t="s">
        <v>886</v>
      </c>
      <c r="B338" s="348" t="s">
        <v>887</v>
      </c>
      <c r="C338" s="349" t="s">
        <v>1655</v>
      </c>
      <c r="D338" s="350">
        <v>55.560000000000201</v>
      </c>
      <c r="E338" s="351">
        <v>1.59</v>
      </c>
      <c r="F338" s="352">
        <v>1.61</v>
      </c>
      <c r="G338" s="2">
        <f t="shared" si="103"/>
        <v>88.340400000000329</v>
      </c>
      <c r="H338" s="353">
        <f t="shared" si="104"/>
        <v>143.90040000000053</v>
      </c>
      <c r="I338" s="9">
        <f t="shared" si="105"/>
        <v>30.219084000000109</v>
      </c>
      <c r="J338" s="354">
        <f t="shared" si="106"/>
        <v>174.11948400000063</v>
      </c>
      <c r="L338" s="153">
        <f t="shared" si="107"/>
        <v>89.451600000000326</v>
      </c>
      <c r="M338" s="353">
        <f t="shared" si="108"/>
        <v>145.01160000000053</v>
      </c>
      <c r="N338" s="9">
        <f t="shared" si="109"/>
        <v>30.452436000000109</v>
      </c>
      <c r="O338" s="354">
        <f t="shared" si="110"/>
        <v>175.46403600000065</v>
      </c>
    </row>
    <row r="339" spans="1:15" x14ac:dyDescent="0.3">
      <c r="A339" s="347" t="s">
        <v>892</v>
      </c>
      <c r="B339" s="348" t="s">
        <v>698</v>
      </c>
      <c r="C339" s="349" t="s">
        <v>1655</v>
      </c>
      <c r="D339" s="350">
        <v>54.370000000000203</v>
      </c>
      <c r="E339" s="351">
        <v>1.61</v>
      </c>
      <c r="F339" s="352">
        <v>1.63</v>
      </c>
      <c r="G339" s="2">
        <f t="shared" si="103"/>
        <v>87.535700000000332</v>
      </c>
      <c r="H339" s="353">
        <f t="shared" si="104"/>
        <v>141.90570000000054</v>
      </c>
      <c r="I339" s="9">
        <f t="shared" si="105"/>
        <v>29.800197000000111</v>
      </c>
      <c r="J339" s="354">
        <f t="shared" si="106"/>
        <v>171.70589700000065</v>
      </c>
      <c r="L339" s="153">
        <f t="shared" si="107"/>
        <v>88.623100000000321</v>
      </c>
      <c r="M339" s="353">
        <f t="shared" si="108"/>
        <v>142.99310000000054</v>
      </c>
      <c r="N339" s="9">
        <f t="shared" si="109"/>
        <v>30.02855100000011</v>
      </c>
      <c r="O339" s="354">
        <f t="shared" si="110"/>
        <v>173.02165100000065</v>
      </c>
    </row>
    <row r="340" spans="1:15" x14ac:dyDescent="0.3">
      <c r="A340" s="347" t="s">
        <v>956</v>
      </c>
      <c r="B340" s="348" t="s">
        <v>958</v>
      </c>
      <c r="C340" s="349" t="s">
        <v>1655</v>
      </c>
      <c r="D340" s="350">
        <v>53.180000000000199</v>
      </c>
      <c r="E340" s="351">
        <v>1.63</v>
      </c>
      <c r="F340" s="352">
        <v>1.65</v>
      </c>
      <c r="G340" s="2">
        <f t="shared" si="103"/>
        <v>86.683400000000319</v>
      </c>
      <c r="H340" s="353">
        <f t="shared" si="104"/>
        <v>139.86340000000052</v>
      </c>
      <c r="I340" s="9">
        <f t="shared" si="105"/>
        <v>29.371314000000108</v>
      </c>
      <c r="J340" s="354">
        <f t="shared" si="106"/>
        <v>169.23471400000062</v>
      </c>
      <c r="L340" s="153">
        <f t="shared" si="107"/>
        <v>87.747000000000327</v>
      </c>
      <c r="M340" s="353">
        <f t="shared" si="108"/>
        <v>140.92700000000053</v>
      </c>
      <c r="N340" s="9">
        <f t="shared" si="109"/>
        <v>29.594670000000111</v>
      </c>
      <c r="O340" s="354">
        <f t="shared" si="110"/>
        <v>170.52167000000065</v>
      </c>
    </row>
    <row r="341" spans="1:15" x14ac:dyDescent="0.3">
      <c r="A341" s="347" t="s">
        <v>957</v>
      </c>
      <c r="B341" s="348" t="s">
        <v>960</v>
      </c>
      <c r="C341" s="349" t="s">
        <v>1655</v>
      </c>
      <c r="D341" s="350">
        <v>51.990000000000201</v>
      </c>
      <c r="E341" s="351">
        <v>1.65</v>
      </c>
      <c r="F341" s="352">
        <v>1.67</v>
      </c>
      <c r="G341" s="2">
        <f t="shared" si="103"/>
        <v>85.78350000000033</v>
      </c>
      <c r="H341" s="353">
        <f t="shared" si="104"/>
        <v>137.77350000000052</v>
      </c>
      <c r="I341" s="9">
        <f t="shared" si="105"/>
        <v>28.932435000000108</v>
      </c>
      <c r="J341" s="354">
        <f t="shared" si="106"/>
        <v>166.70593500000064</v>
      </c>
      <c r="L341" s="153">
        <f t="shared" si="107"/>
        <v>86.82330000000033</v>
      </c>
      <c r="M341" s="353">
        <f t="shared" si="108"/>
        <v>138.81330000000054</v>
      </c>
      <c r="N341" s="9">
        <f t="shared" si="109"/>
        <v>29.15079300000011</v>
      </c>
      <c r="O341" s="354">
        <f t="shared" si="110"/>
        <v>167.96409300000064</v>
      </c>
    </row>
    <row r="342" spans="1:15" x14ac:dyDescent="0.3">
      <c r="A342" s="347" t="s">
        <v>959</v>
      </c>
      <c r="B342" s="348" t="s">
        <v>982</v>
      </c>
      <c r="C342" s="349" t="s">
        <v>1655</v>
      </c>
      <c r="D342" s="350">
        <v>50.800000000000203</v>
      </c>
      <c r="E342" s="351">
        <v>1.67</v>
      </c>
      <c r="F342" s="352">
        <v>1.69</v>
      </c>
      <c r="G342" s="2">
        <f t="shared" si="103"/>
        <v>84.83600000000034</v>
      </c>
      <c r="H342" s="353">
        <f t="shared" si="104"/>
        <v>135.63600000000054</v>
      </c>
      <c r="I342" s="9">
        <f t="shared" si="105"/>
        <v>28.483560000000111</v>
      </c>
      <c r="J342" s="354">
        <f t="shared" si="106"/>
        <v>164.11956000000066</v>
      </c>
      <c r="L342" s="153">
        <f t="shared" si="107"/>
        <v>85.852000000000345</v>
      </c>
      <c r="M342" s="353">
        <f t="shared" si="108"/>
        <v>136.65200000000056</v>
      </c>
      <c r="N342" s="9">
        <f t="shared" si="109"/>
        <v>28.696920000000116</v>
      </c>
      <c r="O342" s="354">
        <f t="shared" si="110"/>
        <v>165.34892000000067</v>
      </c>
    </row>
    <row r="343" spans="1:15" x14ac:dyDescent="0.3">
      <c r="A343" s="347" t="s">
        <v>961</v>
      </c>
      <c r="B343" s="348" t="s">
        <v>981</v>
      </c>
      <c r="C343" s="349" t="s">
        <v>1655</v>
      </c>
      <c r="D343" s="350">
        <v>49.610000000000198</v>
      </c>
      <c r="E343" s="351">
        <v>1.69</v>
      </c>
      <c r="F343" s="352">
        <v>1.71</v>
      </c>
      <c r="G343" s="2">
        <f t="shared" si="103"/>
        <v>83.840900000000332</v>
      </c>
      <c r="H343" s="353">
        <f t="shared" si="104"/>
        <v>133.45090000000053</v>
      </c>
      <c r="I343" s="9">
        <f t="shared" si="105"/>
        <v>28.024689000000109</v>
      </c>
      <c r="J343" s="354">
        <f t="shared" si="106"/>
        <v>161.47558900000064</v>
      </c>
      <c r="L343" s="153">
        <f t="shared" si="107"/>
        <v>84.833100000000343</v>
      </c>
      <c r="M343" s="353">
        <f t="shared" si="108"/>
        <v>134.44310000000053</v>
      </c>
      <c r="N343" s="9">
        <f t="shared" si="109"/>
        <v>28.23305100000011</v>
      </c>
      <c r="O343" s="354">
        <f t="shared" si="110"/>
        <v>162.67615100000063</v>
      </c>
    </row>
    <row r="344" spans="1:15" x14ac:dyDescent="0.3">
      <c r="A344" s="347" t="s">
        <v>980</v>
      </c>
      <c r="B344" s="348" t="s">
        <v>1010</v>
      </c>
      <c r="C344" s="349" t="s">
        <v>1655</v>
      </c>
      <c r="D344" s="350">
        <v>48.420000000000201</v>
      </c>
      <c r="E344" s="351">
        <v>1.71</v>
      </c>
      <c r="F344" s="352">
        <v>1.73</v>
      </c>
      <c r="G344" s="2">
        <f t="shared" si="103"/>
        <v>82.798200000000335</v>
      </c>
      <c r="H344" s="353">
        <f t="shared" si="104"/>
        <v>131.21820000000054</v>
      </c>
      <c r="I344" s="9">
        <f t="shared" si="105"/>
        <v>27.555822000000113</v>
      </c>
      <c r="J344" s="354">
        <f t="shared" si="106"/>
        <v>158.77402200000066</v>
      </c>
      <c r="L344" s="153">
        <f t="shared" si="107"/>
        <v>83.766600000000352</v>
      </c>
      <c r="M344" s="353">
        <f t="shared" si="108"/>
        <v>132.18660000000057</v>
      </c>
      <c r="N344" s="9">
        <f t="shared" si="109"/>
        <v>27.759186000000117</v>
      </c>
      <c r="O344" s="354">
        <f t="shared" si="110"/>
        <v>159.94578600000068</v>
      </c>
    </row>
    <row r="345" spans="1:15" x14ac:dyDescent="0.3">
      <c r="A345" s="347" t="s">
        <v>1011</v>
      </c>
      <c r="B345" s="348" t="s">
        <v>1012</v>
      </c>
      <c r="C345" s="349" t="s">
        <v>1655</v>
      </c>
      <c r="D345" s="350">
        <v>47.230000000000203</v>
      </c>
      <c r="E345" s="351">
        <v>1.73</v>
      </c>
      <c r="F345" s="352">
        <v>1.75</v>
      </c>
      <c r="G345" s="2">
        <f t="shared" si="103"/>
        <v>81.70790000000035</v>
      </c>
      <c r="H345" s="353">
        <f t="shared" si="104"/>
        <v>128.93790000000055</v>
      </c>
      <c r="I345" s="9">
        <f t="shared" si="105"/>
        <v>27.076959000000116</v>
      </c>
      <c r="J345" s="354">
        <f t="shared" si="106"/>
        <v>156.01485900000068</v>
      </c>
      <c r="L345" s="153">
        <f t="shared" si="107"/>
        <v>82.652500000000359</v>
      </c>
      <c r="M345" s="353">
        <f t="shared" si="108"/>
        <v>129.88250000000056</v>
      </c>
      <c r="N345" s="9">
        <f t="shared" si="109"/>
        <v>27.275325000000116</v>
      </c>
      <c r="O345" s="354">
        <f t="shared" si="110"/>
        <v>157.15782500000068</v>
      </c>
    </row>
    <row r="346" spans="1:15" x14ac:dyDescent="0.3">
      <c r="A346" s="347" t="s">
        <v>1014</v>
      </c>
      <c r="B346" s="348" t="s">
        <v>1015</v>
      </c>
      <c r="C346" s="349" t="s">
        <v>1655</v>
      </c>
      <c r="D346" s="350">
        <v>46.040000000000198</v>
      </c>
      <c r="E346" s="351">
        <v>1.75</v>
      </c>
      <c r="F346" s="352">
        <v>1.77</v>
      </c>
      <c r="G346" s="2">
        <f t="shared" si="103"/>
        <v>80.570000000000348</v>
      </c>
      <c r="H346" s="353">
        <f t="shared" si="104"/>
        <v>126.61000000000055</v>
      </c>
      <c r="I346" s="9">
        <f t="shared" si="105"/>
        <v>26.588100000000114</v>
      </c>
      <c r="J346" s="354">
        <f t="shared" si="106"/>
        <v>153.19810000000066</v>
      </c>
      <c r="L346" s="153">
        <f t="shared" si="107"/>
        <v>81.490800000000348</v>
      </c>
      <c r="M346" s="353">
        <f t="shared" si="108"/>
        <v>127.53080000000054</v>
      </c>
      <c r="N346" s="9">
        <f t="shared" si="109"/>
        <v>26.781468000000114</v>
      </c>
      <c r="O346" s="354">
        <f t="shared" si="110"/>
        <v>154.31226800000064</v>
      </c>
    </row>
    <row r="347" spans="1:15" x14ac:dyDescent="0.3">
      <c r="A347" s="347" t="s">
        <v>1016</v>
      </c>
      <c r="B347" s="348" t="s">
        <v>1017</v>
      </c>
      <c r="C347" s="349" t="s">
        <v>1655</v>
      </c>
      <c r="D347" s="350">
        <v>44.8500000000002</v>
      </c>
      <c r="E347" s="351">
        <v>1.77</v>
      </c>
      <c r="F347" s="352">
        <v>1.79</v>
      </c>
      <c r="G347" s="2">
        <f t="shared" si="103"/>
        <v>79.384500000000358</v>
      </c>
      <c r="H347" s="353">
        <f t="shared" si="104"/>
        <v>124.23450000000057</v>
      </c>
      <c r="I347" s="9">
        <f t="shared" si="105"/>
        <v>26.089245000000119</v>
      </c>
      <c r="J347" s="354">
        <f t="shared" si="106"/>
        <v>150.32374500000068</v>
      </c>
      <c r="L347" s="153">
        <f t="shared" si="107"/>
        <v>80.281500000000364</v>
      </c>
      <c r="M347" s="353">
        <f t="shared" si="108"/>
        <v>125.13150000000056</v>
      </c>
      <c r="N347" s="9">
        <f t="shared" si="109"/>
        <v>26.277615000000115</v>
      </c>
      <c r="O347" s="354">
        <f t="shared" si="110"/>
        <v>151.40911500000067</v>
      </c>
    </row>
    <row r="348" spans="1:15" x14ac:dyDescent="0.3">
      <c r="A348" s="347" t="s">
        <v>1020</v>
      </c>
      <c r="B348" s="348" t="s">
        <v>1021</v>
      </c>
      <c r="C348" s="349" t="s">
        <v>1655</v>
      </c>
      <c r="D348" s="350">
        <v>43.660000000000203</v>
      </c>
      <c r="E348" s="351">
        <v>1.79</v>
      </c>
      <c r="F348" s="352">
        <v>1.81</v>
      </c>
      <c r="G348" s="2">
        <f t="shared" si="103"/>
        <v>78.151400000000365</v>
      </c>
      <c r="H348" s="353">
        <f t="shared" si="104"/>
        <v>121.81140000000056</v>
      </c>
      <c r="I348" s="9">
        <f t="shared" si="105"/>
        <v>25.580394000000116</v>
      </c>
      <c r="J348" s="354">
        <f t="shared" si="106"/>
        <v>147.39179400000069</v>
      </c>
      <c r="L348" s="153">
        <f t="shared" si="107"/>
        <v>79.024600000000376</v>
      </c>
      <c r="M348" s="353">
        <f t="shared" si="108"/>
        <v>122.68460000000059</v>
      </c>
      <c r="N348" s="9">
        <f t="shared" si="109"/>
        <v>25.763766000000121</v>
      </c>
      <c r="O348" s="354">
        <f t="shared" si="110"/>
        <v>148.4483660000007</v>
      </c>
    </row>
    <row r="349" spans="1:15" x14ac:dyDescent="0.3">
      <c r="A349" s="347" t="s">
        <v>1022</v>
      </c>
      <c r="B349" s="348" t="s">
        <v>1023</v>
      </c>
      <c r="C349" s="349" t="s">
        <v>1655</v>
      </c>
      <c r="D349" s="350">
        <v>42.470000000000198</v>
      </c>
      <c r="E349" s="351">
        <v>1.81</v>
      </c>
      <c r="F349" s="352">
        <v>1.83</v>
      </c>
      <c r="G349" s="2">
        <f t="shared" si="103"/>
        <v>76.870700000000355</v>
      </c>
      <c r="H349" s="353">
        <f t="shared" si="104"/>
        <v>119.34070000000055</v>
      </c>
      <c r="I349" s="9">
        <f t="shared" si="105"/>
        <v>25.061547000000115</v>
      </c>
      <c r="J349" s="354">
        <f t="shared" si="106"/>
        <v>144.40224700000067</v>
      </c>
      <c r="L349" s="153">
        <f t="shared" si="107"/>
        <v>77.720100000000372</v>
      </c>
      <c r="M349" s="353">
        <f t="shared" si="108"/>
        <v>120.19010000000057</v>
      </c>
      <c r="N349" s="9">
        <f t="shared" si="109"/>
        <v>25.23992100000012</v>
      </c>
      <c r="O349" s="354">
        <f t="shared" si="110"/>
        <v>145.43002100000069</v>
      </c>
    </row>
    <row r="350" spans="1:15" x14ac:dyDescent="0.3">
      <c r="A350" s="347" t="s">
        <v>1024</v>
      </c>
      <c r="B350" s="348" t="s">
        <v>1025</v>
      </c>
      <c r="C350" s="349" t="s">
        <v>1655</v>
      </c>
      <c r="D350" s="350">
        <v>41.28</v>
      </c>
      <c r="E350" s="351">
        <v>1.83</v>
      </c>
      <c r="F350" s="352">
        <v>1.85</v>
      </c>
      <c r="G350" s="2">
        <f t="shared" si="103"/>
        <v>75.542400000000001</v>
      </c>
      <c r="H350" s="353">
        <f t="shared" si="104"/>
        <v>116.8224</v>
      </c>
      <c r="I350" s="9">
        <f t="shared" si="105"/>
        <v>24.532703999999999</v>
      </c>
      <c r="J350" s="354">
        <f t="shared" si="106"/>
        <v>141.35510400000001</v>
      </c>
      <c r="L350" s="153">
        <f t="shared" si="107"/>
        <v>76.368000000000009</v>
      </c>
      <c r="M350" s="353">
        <f t="shared" si="108"/>
        <v>117.64800000000001</v>
      </c>
      <c r="N350" s="9">
        <f t="shared" si="109"/>
        <v>24.70608</v>
      </c>
      <c r="O350" s="354">
        <f t="shared" si="110"/>
        <v>142.35408000000001</v>
      </c>
    </row>
    <row r="351" spans="1:15" x14ac:dyDescent="0.3">
      <c r="A351" s="347" t="s">
        <v>1058</v>
      </c>
      <c r="B351" s="348" t="s">
        <v>1059</v>
      </c>
      <c r="C351" s="349" t="s">
        <v>1655</v>
      </c>
      <c r="D351" s="350">
        <v>40.090000000000003</v>
      </c>
      <c r="E351" s="351">
        <v>1.85</v>
      </c>
      <c r="F351" s="352">
        <v>1.87</v>
      </c>
      <c r="G351" s="2">
        <f t="shared" si="103"/>
        <v>74.166500000000013</v>
      </c>
      <c r="H351" s="353">
        <f t="shared" si="104"/>
        <v>114.25650000000002</v>
      </c>
      <c r="I351" s="9">
        <f t="shared" si="105"/>
        <v>23.993865000000003</v>
      </c>
      <c r="J351" s="354">
        <f t="shared" si="106"/>
        <v>138.25036500000002</v>
      </c>
      <c r="L351" s="153">
        <f t="shared" si="107"/>
        <v>74.968300000000013</v>
      </c>
      <c r="M351" s="353">
        <f t="shared" si="108"/>
        <v>115.05830000000002</v>
      </c>
      <c r="N351" s="9">
        <f t="shared" si="109"/>
        <v>24.162243000000004</v>
      </c>
      <c r="O351" s="354">
        <f t="shared" si="110"/>
        <v>139.22054300000002</v>
      </c>
    </row>
    <row r="352" spans="1:15" x14ac:dyDescent="0.3">
      <c r="A352" s="347" t="s">
        <v>1060</v>
      </c>
      <c r="B352" s="348" t="s">
        <v>1061</v>
      </c>
      <c r="C352" s="349" t="s">
        <v>1655</v>
      </c>
      <c r="D352" s="350">
        <v>38.9</v>
      </c>
      <c r="E352" s="351">
        <v>1.87</v>
      </c>
      <c r="F352" s="352">
        <v>1.89</v>
      </c>
      <c r="G352" s="2">
        <f t="shared" si="103"/>
        <v>72.742999999999995</v>
      </c>
      <c r="H352" s="353">
        <f t="shared" si="104"/>
        <v>111.643</v>
      </c>
      <c r="I352" s="9">
        <f t="shared" si="105"/>
        <v>23.445029999999999</v>
      </c>
      <c r="J352" s="354">
        <f t="shared" si="106"/>
        <v>135.08803</v>
      </c>
      <c r="L352" s="153">
        <f t="shared" si="107"/>
        <v>73.520999999999987</v>
      </c>
      <c r="M352" s="353">
        <f t="shared" si="108"/>
        <v>112.42099999999999</v>
      </c>
      <c r="N352" s="9">
        <f t="shared" si="109"/>
        <v>23.608409999999999</v>
      </c>
      <c r="O352" s="354">
        <f t="shared" si="110"/>
        <v>136.02940999999998</v>
      </c>
    </row>
    <row r="353" spans="1:15" x14ac:dyDescent="0.3">
      <c r="A353" s="347" t="s">
        <v>1062</v>
      </c>
      <c r="B353" s="348" t="s">
        <v>1063</v>
      </c>
      <c r="C353" s="349" t="s">
        <v>1655</v>
      </c>
      <c r="D353" s="350">
        <v>37.71</v>
      </c>
      <c r="E353" s="351">
        <v>1.89</v>
      </c>
      <c r="F353" s="352">
        <v>1.91</v>
      </c>
      <c r="G353" s="2">
        <f t="shared" si="103"/>
        <v>71.271900000000002</v>
      </c>
      <c r="H353" s="353">
        <f t="shared" si="104"/>
        <v>108.9819</v>
      </c>
      <c r="I353" s="9">
        <f t="shared" si="105"/>
        <v>22.886198999999998</v>
      </c>
      <c r="J353" s="354">
        <f t="shared" si="106"/>
        <v>131.868099</v>
      </c>
      <c r="L353" s="153">
        <f t="shared" si="107"/>
        <v>72.0261</v>
      </c>
      <c r="M353" s="353">
        <f t="shared" si="108"/>
        <v>109.73609999999999</v>
      </c>
      <c r="N353" s="9">
        <f t="shared" si="109"/>
        <v>23.044580999999997</v>
      </c>
      <c r="O353" s="354">
        <f t="shared" si="110"/>
        <v>132.78068099999999</v>
      </c>
    </row>
    <row r="354" spans="1:15" x14ac:dyDescent="0.3">
      <c r="A354" s="347" t="s">
        <v>1064</v>
      </c>
      <c r="B354" s="348" t="s">
        <v>1065</v>
      </c>
      <c r="C354" s="349" t="s">
        <v>1655</v>
      </c>
      <c r="D354" s="350">
        <v>36.520000000000003</v>
      </c>
      <c r="E354" s="351">
        <v>1.91</v>
      </c>
      <c r="F354" s="352">
        <v>1.93</v>
      </c>
      <c r="G354" s="2">
        <f t="shared" si="103"/>
        <v>69.753200000000007</v>
      </c>
      <c r="H354" s="353">
        <f t="shared" si="104"/>
        <v>106.2732</v>
      </c>
      <c r="I354" s="9">
        <f t="shared" si="105"/>
        <v>22.317371999999999</v>
      </c>
      <c r="J354" s="354">
        <f t="shared" si="106"/>
        <v>128.59057200000001</v>
      </c>
      <c r="L354" s="153">
        <f t="shared" si="107"/>
        <v>70.48360000000001</v>
      </c>
      <c r="M354" s="353">
        <f t="shared" si="108"/>
        <v>107.00360000000001</v>
      </c>
      <c r="N354" s="9">
        <f t="shared" si="109"/>
        <v>22.470756000000002</v>
      </c>
      <c r="O354" s="354">
        <f t="shared" si="110"/>
        <v>129.474356</v>
      </c>
    </row>
    <row r="355" spans="1:15" x14ac:dyDescent="0.3">
      <c r="A355" s="347" t="s">
        <v>1066</v>
      </c>
      <c r="B355" s="348" t="s">
        <v>1067</v>
      </c>
      <c r="C355" s="349" t="s">
        <v>1655</v>
      </c>
      <c r="D355" s="350">
        <v>35.33</v>
      </c>
      <c r="E355" s="351">
        <v>1.93</v>
      </c>
      <c r="F355" s="352">
        <v>1.95</v>
      </c>
      <c r="G355" s="2">
        <f t="shared" si="103"/>
        <v>68.186899999999994</v>
      </c>
      <c r="H355" s="353">
        <f t="shared" si="104"/>
        <v>103.51689999999999</v>
      </c>
      <c r="I355" s="9">
        <f t="shared" si="105"/>
        <v>21.738548999999999</v>
      </c>
      <c r="J355" s="354">
        <f t="shared" si="106"/>
        <v>125.255449</v>
      </c>
      <c r="L355" s="153">
        <f t="shared" si="107"/>
        <v>68.893499999999989</v>
      </c>
      <c r="M355" s="353">
        <f t="shared" si="108"/>
        <v>104.22349999999999</v>
      </c>
      <c r="N355" s="9">
        <f t="shared" si="109"/>
        <v>21.886934999999998</v>
      </c>
      <c r="O355" s="354">
        <f t="shared" si="110"/>
        <v>126.11043499999998</v>
      </c>
    </row>
    <row r="356" spans="1:15" x14ac:dyDescent="0.3">
      <c r="A356" s="347" t="s">
        <v>1068</v>
      </c>
      <c r="B356" s="348" t="s">
        <v>1069</v>
      </c>
      <c r="C356" s="349" t="s">
        <v>1655</v>
      </c>
      <c r="D356" s="350">
        <v>34.14</v>
      </c>
      <c r="E356" s="351">
        <v>1.95</v>
      </c>
      <c r="F356" s="352">
        <v>1.97</v>
      </c>
      <c r="G356" s="2">
        <f t="shared" si="103"/>
        <v>66.572999999999993</v>
      </c>
      <c r="H356" s="353">
        <f t="shared" si="104"/>
        <v>100.71299999999999</v>
      </c>
      <c r="I356" s="9">
        <f t="shared" si="105"/>
        <v>21.149729999999998</v>
      </c>
      <c r="J356" s="354">
        <f t="shared" si="106"/>
        <v>121.86273</v>
      </c>
      <c r="L356" s="153">
        <f t="shared" si="107"/>
        <v>67.255799999999994</v>
      </c>
      <c r="M356" s="353">
        <f t="shared" si="108"/>
        <v>101.39579999999999</v>
      </c>
      <c r="N356" s="9">
        <f t="shared" si="109"/>
        <v>21.293117999999996</v>
      </c>
      <c r="O356" s="354">
        <f t="shared" si="110"/>
        <v>122.68891799999999</v>
      </c>
    </row>
    <row r="357" spans="1:15" x14ac:dyDescent="0.3">
      <c r="A357" s="347" t="s">
        <v>1074</v>
      </c>
      <c r="B357" s="348" t="s">
        <v>1075</v>
      </c>
      <c r="C357" s="349" t="s">
        <v>1655</v>
      </c>
      <c r="D357" s="350">
        <v>32.950000000000003</v>
      </c>
      <c r="E357" s="351">
        <v>1.97</v>
      </c>
      <c r="F357" s="352">
        <v>1.99</v>
      </c>
      <c r="G357" s="2">
        <f t="shared" si="103"/>
        <v>64.911500000000004</v>
      </c>
      <c r="H357" s="353">
        <f t="shared" si="104"/>
        <v>97.861500000000007</v>
      </c>
      <c r="I357" s="9">
        <f t="shared" si="105"/>
        <v>20.550915</v>
      </c>
      <c r="J357" s="354">
        <f t="shared" si="106"/>
        <v>118.41241500000001</v>
      </c>
      <c r="L357" s="153">
        <f t="shared" si="107"/>
        <v>65.57050000000001</v>
      </c>
      <c r="M357" s="353">
        <f t="shared" si="108"/>
        <v>98.520500000000013</v>
      </c>
      <c r="N357" s="9">
        <f t="shared" si="109"/>
        <v>20.689305000000001</v>
      </c>
      <c r="O357" s="354">
        <f t="shared" si="110"/>
        <v>119.20980500000002</v>
      </c>
    </row>
    <row r="358" spans="1:15" x14ac:dyDescent="0.3">
      <c r="A358" s="347" t="s">
        <v>1076</v>
      </c>
      <c r="B358" s="348" t="s">
        <v>1077</v>
      </c>
      <c r="C358" s="349" t="s">
        <v>1655</v>
      </c>
      <c r="D358" s="350">
        <v>31.76</v>
      </c>
      <c r="E358" s="351">
        <v>1.99</v>
      </c>
      <c r="F358" s="352">
        <v>2.0099999999999998</v>
      </c>
      <c r="G358" s="2">
        <f t="shared" si="103"/>
        <v>63.202400000000004</v>
      </c>
      <c r="H358" s="353">
        <f t="shared" si="104"/>
        <v>94.962400000000002</v>
      </c>
      <c r="I358" s="9">
        <f t="shared" si="105"/>
        <v>19.942104</v>
      </c>
      <c r="J358" s="354">
        <f t="shared" si="106"/>
        <v>114.904504</v>
      </c>
      <c r="L358" s="153">
        <f t="shared" si="107"/>
        <v>63.837599999999995</v>
      </c>
      <c r="M358" s="353">
        <f t="shared" si="108"/>
        <v>95.5976</v>
      </c>
      <c r="N358" s="9">
        <f t="shared" si="109"/>
        <v>20.075495999999998</v>
      </c>
      <c r="O358" s="354">
        <f t="shared" si="110"/>
        <v>115.673096</v>
      </c>
    </row>
    <row r="359" spans="1:15" x14ac:dyDescent="0.3">
      <c r="A359" s="347" t="s">
        <v>1135</v>
      </c>
      <c r="B359" s="348" t="s">
        <v>1136</v>
      </c>
      <c r="C359" s="349" t="s">
        <v>1655</v>
      </c>
      <c r="D359" s="350">
        <v>30.57</v>
      </c>
      <c r="E359" s="351">
        <v>2.0099999999999998</v>
      </c>
      <c r="F359" s="352">
        <v>2.0299999999999998</v>
      </c>
      <c r="G359" s="2">
        <f t="shared" si="103"/>
        <v>61.445699999999995</v>
      </c>
      <c r="H359" s="353">
        <f t="shared" si="104"/>
        <v>92.015699999999995</v>
      </c>
      <c r="I359" s="9">
        <f t="shared" si="105"/>
        <v>19.323296999999997</v>
      </c>
      <c r="J359" s="354">
        <f t="shared" si="106"/>
        <v>111.33899699999999</v>
      </c>
      <c r="L359" s="153">
        <f t="shared" si="107"/>
        <v>62.057099999999991</v>
      </c>
      <c r="M359" s="353">
        <f t="shared" si="108"/>
        <v>92.627099999999984</v>
      </c>
      <c r="N359" s="9">
        <f t="shared" si="109"/>
        <v>19.451690999999997</v>
      </c>
      <c r="O359" s="354">
        <f t="shared" si="110"/>
        <v>112.07879099999998</v>
      </c>
    </row>
    <row r="360" spans="1:15" x14ac:dyDescent="0.3">
      <c r="A360" s="347" t="s">
        <v>1139</v>
      </c>
      <c r="B360" s="348" t="s">
        <v>1140</v>
      </c>
      <c r="C360" s="349" t="s">
        <v>1655</v>
      </c>
      <c r="D360" s="350">
        <v>29.38</v>
      </c>
      <c r="E360" s="351">
        <v>2.0299999999999998</v>
      </c>
      <c r="F360" s="352">
        <v>2.0499999999999998</v>
      </c>
      <c r="G360" s="2">
        <f t="shared" si="103"/>
        <v>59.64139999999999</v>
      </c>
      <c r="H360" s="353">
        <f t="shared" si="104"/>
        <v>89.021399999999986</v>
      </c>
      <c r="I360" s="9">
        <f t="shared" si="105"/>
        <v>18.694493999999995</v>
      </c>
      <c r="J360" s="354">
        <f t="shared" si="106"/>
        <v>107.71589399999998</v>
      </c>
      <c r="L360" s="153">
        <f t="shared" si="107"/>
        <v>60.228999999999992</v>
      </c>
      <c r="M360" s="353">
        <f t="shared" si="108"/>
        <v>89.608999999999995</v>
      </c>
      <c r="N360" s="9">
        <f t="shared" si="109"/>
        <v>18.817889999999998</v>
      </c>
      <c r="O360" s="354">
        <f t="shared" si="110"/>
        <v>108.42688999999999</v>
      </c>
    </row>
    <row r="361" spans="1:15" x14ac:dyDescent="0.3">
      <c r="A361" s="347" t="s">
        <v>1141</v>
      </c>
      <c r="B361" s="348" t="s">
        <v>1142</v>
      </c>
      <c r="C361" s="349" t="s">
        <v>1655</v>
      </c>
      <c r="D361" s="350">
        <v>28.19</v>
      </c>
      <c r="E361" s="351">
        <v>2.0499999999999998</v>
      </c>
      <c r="F361" s="352">
        <v>2.0699999999999998</v>
      </c>
      <c r="G361" s="2">
        <f t="shared" si="103"/>
        <v>57.789499999999997</v>
      </c>
      <c r="H361" s="353">
        <f t="shared" si="104"/>
        <v>85.979500000000002</v>
      </c>
      <c r="I361" s="9">
        <f t="shared" si="105"/>
        <v>18.055695</v>
      </c>
      <c r="J361" s="354">
        <f t="shared" si="106"/>
        <v>104.035195</v>
      </c>
      <c r="L361" s="153">
        <f t="shared" si="107"/>
        <v>58.353299999999997</v>
      </c>
      <c r="M361" s="353">
        <f t="shared" si="108"/>
        <v>86.543300000000002</v>
      </c>
      <c r="N361" s="9">
        <f t="shared" si="109"/>
        <v>18.174092999999999</v>
      </c>
      <c r="O361" s="354">
        <f t="shared" si="110"/>
        <v>104.717393</v>
      </c>
    </row>
    <row r="362" spans="1:15" x14ac:dyDescent="0.3">
      <c r="A362" s="347" t="s">
        <v>1147</v>
      </c>
      <c r="B362" s="348" t="s">
        <v>1148</v>
      </c>
      <c r="C362" s="349" t="s">
        <v>1655</v>
      </c>
      <c r="D362" s="350">
        <v>27</v>
      </c>
      <c r="E362" s="351">
        <v>2.0699999999999998</v>
      </c>
      <c r="F362" s="352">
        <v>2.09</v>
      </c>
      <c r="G362" s="2">
        <f t="shared" si="103"/>
        <v>55.889999999999993</v>
      </c>
      <c r="H362" s="353">
        <f t="shared" si="104"/>
        <v>82.889999999999986</v>
      </c>
      <c r="I362" s="9">
        <f t="shared" si="105"/>
        <v>17.406899999999997</v>
      </c>
      <c r="J362" s="354">
        <f t="shared" si="106"/>
        <v>100.29689999999998</v>
      </c>
      <c r="L362" s="153">
        <f t="shared" si="107"/>
        <v>56.429999999999993</v>
      </c>
      <c r="M362" s="353">
        <f t="shared" si="108"/>
        <v>83.429999999999993</v>
      </c>
      <c r="N362" s="9">
        <f t="shared" si="109"/>
        <v>17.520299999999999</v>
      </c>
      <c r="O362" s="354">
        <f t="shared" si="110"/>
        <v>100.9503</v>
      </c>
    </row>
    <row r="363" spans="1:15" x14ac:dyDescent="0.3">
      <c r="A363" s="347" t="s">
        <v>1149</v>
      </c>
      <c r="B363" s="348" t="s">
        <v>1150</v>
      </c>
      <c r="C363" s="349" t="s">
        <v>1655</v>
      </c>
      <c r="D363" s="350">
        <v>25.81</v>
      </c>
      <c r="E363" s="351">
        <v>2.09</v>
      </c>
      <c r="F363" s="352">
        <v>2.11</v>
      </c>
      <c r="G363" s="2">
        <f t="shared" si="103"/>
        <v>53.942899999999995</v>
      </c>
      <c r="H363" s="353">
        <f t="shared" si="104"/>
        <v>79.752899999999997</v>
      </c>
      <c r="I363" s="9">
        <f t="shared" si="105"/>
        <v>16.748108999999999</v>
      </c>
      <c r="J363" s="354">
        <f t="shared" si="106"/>
        <v>96.501008999999996</v>
      </c>
      <c r="L363" s="153">
        <f t="shared" si="107"/>
        <v>54.459099999999992</v>
      </c>
      <c r="M363" s="353">
        <f t="shared" si="108"/>
        <v>80.269099999999995</v>
      </c>
      <c r="N363" s="9">
        <f t="shared" si="109"/>
        <v>16.856510999999998</v>
      </c>
      <c r="O363" s="354">
        <f t="shared" si="110"/>
        <v>97.125610999999992</v>
      </c>
    </row>
    <row r="364" spans="1:15" x14ac:dyDescent="0.3">
      <c r="A364" s="347" t="s">
        <v>1165</v>
      </c>
      <c r="B364" s="348" t="s">
        <v>1412</v>
      </c>
      <c r="C364" s="349" t="s">
        <v>1655</v>
      </c>
      <c r="D364" s="350">
        <v>24.62</v>
      </c>
      <c r="E364" s="351">
        <v>2.11</v>
      </c>
      <c r="F364" s="352">
        <v>2.13</v>
      </c>
      <c r="G364" s="2">
        <f t="shared" si="103"/>
        <v>51.9482</v>
      </c>
      <c r="H364" s="353">
        <f t="shared" si="104"/>
        <v>76.568200000000004</v>
      </c>
      <c r="I364" s="9">
        <f t="shared" si="105"/>
        <v>16.079322000000001</v>
      </c>
      <c r="J364" s="354">
        <f t="shared" si="106"/>
        <v>92.647522000000009</v>
      </c>
      <c r="L364" s="153">
        <f t="shared" si="107"/>
        <v>52.440599999999996</v>
      </c>
      <c r="M364" s="353">
        <f t="shared" si="108"/>
        <v>77.060599999999994</v>
      </c>
      <c r="N364" s="9">
        <f t="shared" si="109"/>
        <v>16.182725999999999</v>
      </c>
      <c r="O364" s="354">
        <f t="shared" si="110"/>
        <v>93.243325999999996</v>
      </c>
    </row>
    <row r="365" spans="1:15" x14ac:dyDescent="0.3">
      <c r="A365" s="347" t="s">
        <v>1342</v>
      </c>
      <c r="B365" s="348" t="s">
        <v>1343</v>
      </c>
      <c r="C365" s="349" t="s">
        <v>1655</v>
      </c>
      <c r="D365" s="350">
        <v>23.43</v>
      </c>
      <c r="E365" s="351">
        <v>2.13</v>
      </c>
      <c r="F365" s="352">
        <v>2.15</v>
      </c>
      <c r="G365" s="2">
        <f t="shared" si="103"/>
        <v>49.905899999999995</v>
      </c>
      <c r="H365" s="353">
        <f t="shared" si="104"/>
        <v>73.335899999999995</v>
      </c>
      <c r="I365" s="9">
        <f t="shared" si="105"/>
        <v>15.400538999999998</v>
      </c>
      <c r="J365" s="354">
        <f t="shared" si="106"/>
        <v>88.73643899999999</v>
      </c>
      <c r="L365" s="153">
        <f t="shared" si="107"/>
        <v>50.374499999999998</v>
      </c>
      <c r="M365" s="353">
        <f t="shared" si="108"/>
        <v>73.80449999999999</v>
      </c>
      <c r="N365" s="9">
        <f t="shared" si="109"/>
        <v>15.498944999999997</v>
      </c>
      <c r="O365" s="354">
        <f t="shared" si="110"/>
        <v>89.303444999999982</v>
      </c>
    </row>
    <row r="366" spans="1:15" x14ac:dyDescent="0.3">
      <c r="A366" s="347" t="s">
        <v>1369</v>
      </c>
      <c r="B366" s="348" t="s">
        <v>1370</v>
      </c>
      <c r="C366" s="349" t="s">
        <v>1655</v>
      </c>
      <c r="D366" s="350">
        <v>22.24</v>
      </c>
      <c r="E366" s="351">
        <v>2.15</v>
      </c>
      <c r="F366" s="352">
        <v>2.17</v>
      </c>
      <c r="G366" s="2">
        <f t="shared" si="103"/>
        <v>47.815999999999995</v>
      </c>
      <c r="H366" s="353">
        <f t="shared" si="104"/>
        <v>70.055999999999997</v>
      </c>
      <c r="I366" s="9">
        <f t="shared" si="105"/>
        <v>14.711759999999998</v>
      </c>
      <c r="J366" s="354">
        <f t="shared" si="106"/>
        <v>84.767759999999996</v>
      </c>
      <c r="L366" s="153">
        <f t="shared" si="107"/>
        <v>48.260799999999996</v>
      </c>
      <c r="M366" s="353">
        <f t="shared" si="108"/>
        <v>70.500799999999998</v>
      </c>
      <c r="N366" s="9">
        <f t="shared" si="109"/>
        <v>14.805167999999998</v>
      </c>
      <c r="O366" s="354">
        <f t="shared" si="110"/>
        <v>85.305967999999993</v>
      </c>
    </row>
    <row r="367" spans="1:15" x14ac:dyDescent="0.3">
      <c r="A367" s="347" t="s">
        <v>1371</v>
      </c>
      <c r="B367" s="348" t="s">
        <v>1372</v>
      </c>
      <c r="C367" s="349" t="s">
        <v>1655</v>
      </c>
      <c r="D367" s="350">
        <v>21.05</v>
      </c>
      <c r="E367" s="351">
        <v>2.17</v>
      </c>
      <c r="F367" s="352">
        <v>2.19</v>
      </c>
      <c r="G367" s="2">
        <f t="shared" si="103"/>
        <v>45.6785</v>
      </c>
      <c r="H367" s="353">
        <f t="shared" si="104"/>
        <v>66.728499999999997</v>
      </c>
      <c r="I367" s="9">
        <f t="shared" si="105"/>
        <v>14.012984999999999</v>
      </c>
      <c r="J367" s="354">
        <f t="shared" si="106"/>
        <v>80.741484999999997</v>
      </c>
      <c r="L367" s="153">
        <f t="shared" si="107"/>
        <v>46.099499999999999</v>
      </c>
      <c r="M367" s="353">
        <f t="shared" si="108"/>
        <v>67.149500000000003</v>
      </c>
      <c r="N367" s="9">
        <f t="shared" si="109"/>
        <v>14.101395</v>
      </c>
      <c r="O367" s="354">
        <f t="shared" si="110"/>
        <v>81.250895</v>
      </c>
    </row>
    <row r="368" spans="1:15" x14ac:dyDescent="0.3">
      <c r="A368" s="347" t="s">
        <v>1373</v>
      </c>
      <c r="B368" s="348" t="s">
        <v>1376</v>
      </c>
      <c r="C368" s="349" t="s">
        <v>1655</v>
      </c>
      <c r="D368" s="350">
        <v>19.86</v>
      </c>
      <c r="E368" s="351">
        <v>2.19</v>
      </c>
      <c r="F368" s="352">
        <v>2.21</v>
      </c>
      <c r="G368" s="2">
        <f t="shared" si="103"/>
        <v>43.493400000000001</v>
      </c>
      <c r="H368" s="353">
        <f t="shared" si="104"/>
        <v>63.353400000000001</v>
      </c>
      <c r="I368" s="9">
        <f t="shared" si="105"/>
        <v>13.304214</v>
      </c>
      <c r="J368" s="354">
        <f t="shared" si="106"/>
        <v>76.657613999999995</v>
      </c>
      <c r="L368" s="153">
        <f t="shared" si="107"/>
        <v>43.890599999999999</v>
      </c>
      <c r="M368" s="353">
        <f t="shared" si="108"/>
        <v>63.750599999999999</v>
      </c>
      <c r="N368" s="9">
        <f t="shared" si="109"/>
        <v>13.387625999999999</v>
      </c>
      <c r="O368" s="354">
        <f t="shared" si="110"/>
        <v>77.138226000000003</v>
      </c>
    </row>
    <row r="369" spans="1:15" x14ac:dyDescent="0.3">
      <c r="A369" s="347" t="s">
        <v>1374</v>
      </c>
      <c r="B369" s="348" t="s">
        <v>1375</v>
      </c>
      <c r="C369" s="349" t="s">
        <v>1655</v>
      </c>
      <c r="D369" s="350">
        <v>18.670000000000002</v>
      </c>
      <c r="E369" s="351">
        <v>2.21</v>
      </c>
      <c r="F369" s="352">
        <v>2.23</v>
      </c>
      <c r="G369" s="2">
        <f t="shared" si="103"/>
        <v>41.2607</v>
      </c>
      <c r="H369" s="353">
        <f t="shared" si="104"/>
        <v>59.930700000000002</v>
      </c>
      <c r="I369" s="9">
        <f t="shared" si="105"/>
        <v>12.585447</v>
      </c>
      <c r="J369" s="354">
        <f t="shared" si="106"/>
        <v>72.516147000000004</v>
      </c>
      <c r="L369" s="153">
        <f t="shared" si="107"/>
        <v>41.634100000000004</v>
      </c>
      <c r="M369" s="353">
        <f t="shared" si="108"/>
        <v>60.304100000000005</v>
      </c>
      <c r="N369" s="9">
        <f t="shared" si="109"/>
        <v>12.663861000000001</v>
      </c>
      <c r="O369" s="354">
        <f t="shared" si="110"/>
        <v>72.967961000000003</v>
      </c>
    </row>
    <row r="370" spans="1:15" x14ac:dyDescent="0.3">
      <c r="A370" s="347" t="s">
        <v>1417</v>
      </c>
      <c r="B370" s="348" t="s">
        <v>1166</v>
      </c>
      <c r="C370" s="349" t="s">
        <v>1655</v>
      </c>
      <c r="D370" s="350">
        <v>17.48</v>
      </c>
      <c r="E370" s="351">
        <v>2.23</v>
      </c>
      <c r="F370" s="352">
        <v>2.25</v>
      </c>
      <c r="G370" s="2">
        <f t="shared" si="103"/>
        <v>38.980400000000003</v>
      </c>
      <c r="H370" s="353">
        <f t="shared" si="104"/>
        <v>56.460400000000007</v>
      </c>
      <c r="I370" s="9">
        <f t="shared" si="105"/>
        <v>11.856684000000001</v>
      </c>
      <c r="J370" s="354">
        <f t="shared" si="106"/>
        <v>68.317084000000008</v>
      </c>
      <c r="L370" s="153">
        <f t="shared" si="107"/>
        <v>39.33</v>
      </c>
      <c r="M370" s="353">
        <f t="shared" si="108"/>
        <v>56.81</v>
      </c>
      <c r="N370" s="9">
        <f t="shared" si="109"/>
        <v>11.930099999999999</v>
      </c>
      <c r="O370" s="354">
        <f t="shared" si="110"/>
        <v>68.740099999999998</v>
      </c>
    </row>
    <row r="371" spans="1:15" x14ac:dyDescent="0.3">
      <c r="A371" s="347" t="s">
        <v>1418</v>
      </c>
      <c r="B371" s="348" t="s">
        <v>1419</v>
      </c>
      <c r="C371" s="349" t="s">
        <v>1655</v>
      </c>
      <c r="D371" s="350">
        <v>16.29</v>
      </c>
      <c r="E371" s="351">
        <v>2.25</v>
      </c>
      <c r="F371" s="352">
        <v>2.27</v>
      </c>
      <c r="G371" s="2">
        <f t="shared" si="103"/>
        <v>36.652499999999996</v>
      </c>
      <c r="H371" s="353">
        <f t="shared" si="104"/>
        <v>52.942499999999995</v>
      </c>
      <c r="I371" s="9">
        <f t="shared" si="105"/>
        <v>11.117924999999998</v>
      </c>
      <c r="J371" s="354">
        <f t="shared" si="106"/>
        <v>64.060424999999995</v>
      </c>
      <c r="L371" s="153">
        <f t="shared" si="107"/>
        <v>36.978299999999997</v>
      </c>
      <c r="M371" s="353">
        <f t="shared" si="108"/>
        <v>53.268299999999996</v>
      </c>
      <c r="N371" s="9">
        <f t="shared" si="109"/>
        <v>11.186342999999999</v>
      </c>
      <c r="O371" s="354">
        <f t="shared" si="110"/>
        <v>64.45464299999999</v>
      </c>
    </row>
    <row r="372" spans="1:15" x14ac:dyDescent="0.3">
      <c r="A372" s="347" t="s">
        <v>1500</v>
      </c>
      <c r="B372" s="348" t="s">
        <v>335</v>
      </c>
      <c r="C372" s="349" t="s">
        <v>1655</v>
      </c>
      <c r="D372" s="350">
        <v>15.1</v>
      </c>
      <c r="E372" s="351">
        <v>2.27</v>
      </c>
      <c r="F372" s="352">
        <v>2.29</v>
      </c>
      <c r="G372" s="2">
        <f>D372*E372</f>
        <v>34.277000000000001</v>
      </c>
      <c r="H372" s="353">
        <f>G372+D372</f>
        <v>49.377000000000002</v>
      </c>
      <c r="I372" s="9">
        <f>H372*0.21</f>
        <v>10.36917</v>
      </c>
      <c r="J372" s="354">
        <f>H372+I372</f>
        <v>59.746170000000006</v>
      </c>
      <c r="L372" s="153">
        <f t="shared" si="107"/>
        <v>34.579000000000001</v>
      </c>
      <c r="M372" s="353">
        <f t="shared" si="108"/>
        <v>49.679000000000002</v>
      </c>
      <c r="N372" s="9">
        <f t="shared" si="109"/>
        <v>10.432589999999999</v>
      </c>
      <c r="O372" s="354">
        <f t="shared" si="110"/>
        <v>60.11159</v>
      </c>
    </row>
    <row r="373" spans="1:15" x14ac:dyDescent="0.3">
      <c r="A373" s="347" t="s">
        <v>1501</v>
      </c>
      <c r="B373" s="348" t="s">
        <v>924</v>
      </c>
      <c r="C373" s="349" t="s">
        <v>1655</v>
      </c>
      <c r="D373" s="350">
        <v>13.91</v>
      </c>
      <c r="E373" s="351">
        <v>2.29</v>
      </c>
      <c r="F373" s="352">
        <v>2.31</v>
      </c>
      <c r="G373" s="2">
        <f>D373*E373</f>
        <v>31.853899999999999</v>
      </c>
      <c r="H373" s="353">
        <f>G373+D373</f>
        <v>45.7639</v>
      </c>
      <c r="I373" s="9">
        <f>H373*0.21</f>
        <v>9.6104190000000003</v>
      </c>
      <c r="J373" s="354">
        <f>H373+I373</f>
        <v>55.374319</v>
      </c>
      <c r="L373" s="153">
        <f t="shared" si="107"/>
        <v>32.132100000000001</v>
      </c>
      <c r="M373" s="353">
        <f t="shared" si="108"/>
        <v>46.042100000000005</v>
      </c>
      <c r="N373" s="9">
        <f t="shared" si="109"/>
        <v>9.6688410000000005</v>
      </c>
      <c r="O373" s="354">
        <f t="shared" si="110"/>
        <v>55.710941000000005</v>
      </c>
    </row>
    <row r="374" spans="1:15" x14ac:dyDescent="0.3">
      <c r="A374" s="347" t="s">
        <v>1502</v>
      </c>
      <c r="B374" s="348" t="s">
        <v>926</v>
      </c>
      <c r="C374" s="349" t="s">
        <v>1655</v>
      </c>
      <c r="D374" s="350">
        <v>12.72</v>
      </c>
      <c r="E374" s="351">
        <v>2.31</v>
      </c>
      <c r="F374" s="352">
        <v>2.33</v>
      </c>
      <c r="G374" s="2">
        <f>D374*E374</f>
        <v>29.383200000000002</v>
      </c>
      <c r="H374" s="353">
        <f>G374+D374</f>
        <v>42.103200000000001</v>
      </c>
      <c r="I374" s="9">
        <f>H374*0.21</f>
        <v>8.8416719999999991</v>
      </c>
      <c r="J374" s="354">
        <f>H374+I374</f>
        <v>50.944872000000004</v>
      </c>
      <c r="L374" s="153">
        <f t="shared" si="107"/>
        <v>29.637600000000003</v>
      </c>
      <c r="M374" s="353">
        <f t="shared" si="108"/>
        <v>42.357600000000005</v>
      </c>
      <c r="N374" s="9">
        <f t="shared" si="109"/>
        <v>8.8950960000000006</v>
      </c>
      <c r="O374" s="354">
        <f t="shared" si="110"/>
        <v>51.252696000000007</v>
      </c>
    </row>
    <row r="375" spans="1:15" x14ac:dyDescent="0.3">
      <c r="A375" s="347" t="s">
        <v>1503</v>
      </c>
      <c r="B375" s="348" t="s">
        <v>1052</v>
      </c>
      <c r="C375" s="349" t="s">
        <v>1655</v>
      </c>
      <c r="D375" s="350">
        <v>11.53</v>
      </c>
      <c r="E375" s="351">
        <v>2.33</v>
      </c>
      <c r="F375" s="352">
        <v>2.35</v>
      </c>
      <c r="G375" s="2">
        <f>D375*E375</f>
        <v>26.864899999999999</v>
      </c>
      <c r="H375" s="353">
        <f>G375+D375</f>
        <v>38.3949</v>
      </c>
      <c r="I375" s="9">
        <f>H375*0.21</f>
        <v>8.0629290000000005</v>
      </c>
      <c r="J375" s="354">
        <f>H375+I375</f>
        <v>46.457829000000004</v>
      </c>
      <c r="L375" s="153">
        <f t="shared" si="107"/>
        <v>27.095500000000001</v>
      </c>
      <c r="M375" s="353">
        <f t="shared" si="108"/>
        <v>38.625500000000002</v>
      </c>
      <c r="N375" s="9">
        <f t="shared" si="109"/>
        <v>8.1113549999999996</v>
      </c>
      <c r="O375" s="354">
        <f t="shared" si="110"/>
        <v>46.736855000000006</v>
      </c>
    </row>
    <row r="376" spans="1:15" x14ac:dyDescent="0.3">
      <c r="A376" s="347" t="s">
        <v>1504</v>
      </c>
      <c r="B376" s="348" t="s">
        <v>1472</v>
      </c>
      <c r="C376" s="349" t="s">
        <v>1655</v>
      </c>
      <c r="D376" s="350">
        <v>10.34</v>
      </c>
      <c r="E376" s="351">
        <v>2.35</v>
      </c>
      <c r="F376" s="352">
        <v>2.37</v>
      </c>
      <c r="G376" s="2">
        <f>D376*E376</f>
        <v>24.298999999999999</v>
      </c>
      <c r="H376" s="353">
        <f>G376+D376</f>
        <v>34.638999999999996</v>
      </c>
      <c r="I376" s="9">
        <f>H376*0.21</f>
        <v>7.274189999999999</v>
      </c>
      <c r="J376" s="354">
        <f>H376+I376</f>
        <v>41.913189999999993</v>
      </c>
      <c r="L376" s="153">
        <f t="shared" si="107"/>
        <v>24.505800000000001</v>
      </c>
      <c r="M376" s="353">
        <f t="shared" si="108"/>
        <v>34.845799999999997</v>
      </c>
      <c r="N376" s="9">
        <f t="shared" si="109"/>
        <v>7.3176179999999995</v>
      </c>
      <c r="O376" s="354">
        <f t="shared" si="110"/>
        <v>42.163417999999993</v>
      </c>
    </row>
    <row r="377" spans="1:15" x14ac:dyDescent="0.3">
      <c r="A377" s="347" t="s">
        <v>1553</v>
      </c>
      <c r="B377" s="348" t="s">
        <v>1091</v>
      </c>
      <c r="C377" s="349" t="s">
        <v>1655</v>
      </c>
      <c r="D377" s="350">
        <v>9.1500000000000092</v>
      </c>
      <c r="E377" s="351">
        <v>2.37</v>
      </c>
      <c r="F377" s="352">
        <v>2.39</v>
      </c>
      <c r="G377" s="2">
        <f t="shared" ref="G377:G379" si="111">D377*E377</f>
        <v>21.685500000000022</v>
      </c>
      <c r="H377" s="353">
        <f t="shared" ref="H377:H379" si="112">G377+D377</f>
        <v>30.835500000000032</v>
      </c>
      <c r="I377" s="9">
        <f t="shared" ref="I377:I379" si="113">H377*0.21</f>
        <v>6.4754550000000064</v>
      </c>
      <c r="J377" s="354">
        <f t="shared" ref="J377:J379" si="114">H377+I377</f>
        <v>37.310955000000035</v>
      </c>
      <c r="L377" s="153">
        <f t="shared" si="107"/>
        <v>21.868500000000022</v>
      </c>
      <c r="M377" s="353">
        <f t="shared" si="108"/>
        <v>31.018500000000031</v>
      </c>
      <c r="N377" s="9">
        <f t="shared" si="109"/>
        <v>6.5138850000000064</v>
      </c>
      <c r="O377" s="354">
        <f t="shared" si="110"/>
        <v>37.532385000000041</v>
      </c>
    </row>
    <row r="378" spans="1:15" x14ac:dyDescent="0.3">
      <c r="A378" s="347" t="s">
        <v>1616</v>
      </c>
      <c r="B378" s="348" t="s">
        <v>1617</v>
      </c>
      <c r="C378" s="349" t="s">
        <v>1655</v>
      </c>
      <c r="D378" s="350">
        <v>7.9600000000000097</v>
      </c>
      <c r="E378" s="351">
        <v>2.39</v>
      </c>
      <c r="F378" s="352">
        <v>2.41</v>
      </c>
      <c r="G378" s="2">
        <f t="shared" si="111"/>
        <v>19.024400000000025</v>
      </c>
      <c r="H378" s="353">
        <f t="shared" si="112"/>
        <v>26.984400000000036</v>
      </c>
      <c r="I378" s="9">
        <f t="shared" si="113"/>
        <v>5.6667240000000074</v>
      </c>
      <c r="J378" s="354">
        <f t="shared" si="114"/>
        <v>32.651124000000046</v>
      </c>
      <c r="L378" s="153">
        <f t="shared" si="107"/>
        <v>19.183600000000023</v>
      </c>
      <c r="M378" s="353">
        <f t="shared" si="108"/>
        <v>27.143600000000035</v>
      </c>
      <c r="N378" s="9">
        <f t="shared" si="109"/>
        <v>5.7001560000000069</v>
      </c>
      <c r="O378" s="354">
        <f t="shared" si="110"/>
        <v>32.843756000000042</v>
      </c>
    </row>
    <row r="379" spans="1:15" x14ac:dyDescent="0.3">
      <c r="A379" s="347" t="s">
        <v>1623</v>
      </c>
      <c r="B379" s="348" t="s">
        <v>1624</v>
      </c>
      <c r="C379" s="349" t="s">
        <v>1655</v>
      </c>
      <c r="D379" s="350">
        <v>6.7700000000000102</v>
      </c>
      <c r="E379" s="351">
        <v>2.41</v>
      </c>
      <c r="F379" s="352">
        <v>2.4300000000000002</v>
      </c>
      <c r="G379" s="2">
        <f t="shared" si="111"/>
        <v>16.315700000000025</v>
      </c>
      <c r="H379" s="353">
        <f t="shared" si="112"/>
        <v>23.085700000000035</v>
      </c>
      <c r="I379" s="9">
        <f t="shared" si="113"/>
        <v>4.8479970000000074</v>
      </c>
      <c r="J379" s="354">
        <f t="shared" si="114"/>
        <v>27.933697000000041</v>
      </c>
      <c r="L379" s="153">
        <f t="shared" si="107"/>
        <v>16.451100000000025</v>
      </c>
      <c r="M379" s="353">
        <f t="shared" si="108"/>
        <v>23.221100000000035</v>
      </c>
      <c r="N379" s="9">
        <f t="shared" si="109"/>
        <v>4.8764310000000073</v>
      </c>
      <c r="O379" s="354">
        <f t="shared" si="110"/>
        <v>28.097531000000043</v>
      </c>
    </row>
    <row r="381" spans="1:15" x14ac:dyDescent="0.3">
      <c r="A381" s="308" t="s">
        <v>563</v>
      </c>
      <c r="B381" s="309" t="s">
        <v>612</v>
      </c>
      <c r="C381" s="310" t="s">
        <v>1655</v>
      </c>
      <c r="D381" s="311">
        <v>13.33</v>
      </c>
      <c r="E381" s="312">
        <v>0.05</v>
      </c>
      <c r="F381" s="313">
        <v>0.05</v>
      </c>
      <c r="G381" s="2">
        <f t="shared" ref="G381:G394" si="115">D381*E381</f>
        <v>0.66650000000000009</v>
      </c>
      <c r="H381" s="314">
        <f t="shared" ref="H381:H394" si="116">G381+D381</f>
        <v>13.996500000000001</v>
      </c>
      <c r="I381" s="9">
        <f t="shared" ref="I381:I394" si="117">H381*0.21</f>
        <v>2.9392650000000002</v>
      </c>
      <c r="J381" s="315">
        <f t="shared" ref="J381:J394" si="118">H381+I381</f>
        <v>16.935765</v>
      </c>
      <c r="L381" s="153">
        <f t="shared" ref="L381:L397" si="119">D381*F381</f>
        <v>0.66650000000000009</v>
      </c>
      <c r="M381" s="314">
        <f t="shared" ref="M381:M397" si="120">D381+L381</f>
        <v>13.996500000000001</v>
      </c>
      <c r="N381" s="9">
        <f t="shared" ref="N381:N397" si="121">M381*0.21</f>
        <v>2.9392650000000002</v>
      </c>
      <c r="O381" s="315">
        <f t="shared" ref="O381:O397" si="122">M381+N381</f>
        <v>16.935765</v>
      </c>
    </row>
    <row r="382" spans="1:15" x14ac:dyDescent="0.3">
      <c r="A382" s="308" t="s">
        <v>565</v>
      </c>
      <c r="B382" s="309" t="s">
        <v>452</v>
      </c>
      <c r="C382" s="310" t="s">
        <v>1655</v>
      </c>
      <c r="D382" s="311">
        <v>16.66</v>
      </c>
      <c r="E382" s="312">
        <v>0.05</v>
      </c>
      <c r="F382" s="313">
        <v>0.05</v>
      </c>
      <c r="G382" s="2">
        <f t="shared" si="115"/>
        <v>0.83300000000000007</v>
      </c>
      <c r="H382" s="314">
        <f t="shared" si="116"/>
        <v>17.492999999999999</v>
      </c>
      <c r="I382" s="9">
        <f t="shared" si="117"/>
        <v>3.6735299999999995</v>
      </c>
      <c r="J382" s="315">
        <f t="shared" si="118"/>
        <v>21.166529999999998</v>
      </c>
      <c r="L382" s="153">
        <f t="shared" si="119"/>
        <v>0.83300000000000007</v>
      </c>
      <c r="M382" s="314">
        <f t="shared" si="120"/>
        <v>17.492999999999999</v>
      </c>
      <c r="N382" s="9">
        <f t="shared" si="121"/>
        <v>3.6735299999999995</v>
      </c>
      <c r="O382" s="315">
        <f t="shared" si="122"/>
        <v>21.166529999999998</v>
      </c>
    </row>
    <row r="383" spans="1:15" x14ac:dyDescent="0.3">
      <c r="A383" s="308" t="s">
        <v>581</v>
      </c>
      <c r="B383" s="309" t="s">
        <v>566</v>
      </c>
      <c r="C383" s="310" t="s">
        <v>1655</v>
      </c>
      <c r="D383" s="311">
        <v>19.989999999999998</v>
      </c>
      <c r="E383" s="312">
        <v>0.05</v>
      </c>
      <c r="F383" s="313">
        <v>0.05</v>
      </c>
      <c r="G383" s="2">
        <f t="shared" si="115"/>
        <v>0.99949999999999994</v>
      </c>
      <c r="H383" s="314">
        <f t="shared" si="116"/>
        <v>20.9895</v>
      </c>
      <c r="I383" s="9">
        <f t="shared" si="117"/>
        <v>4.4077950000000001</v>
      </c>
      <c r="J383" s="315">
        <f t="shared" si="118"/>
        <v>25.397295</v>
      </c>
      <c r="L383" s="153">
        <f t="shared" si="119"/>
        <v>0.99949999999999994</v>
      </c>
      <c r="M383" s="314">
        <f t="shared" si="120"/>
        <v>20.9895</v>
      </c>
      <c r="N383" s="9">
        <f t="shared" si="121"/>
        <v>4.4077950000000001</v>
      </c>
      <c r="O383" s="315">
        <f t="shared" si="122"/>
        <v>25.397295</v>
      </c>
    </row>
    <row r="384" spans="1:15" x14ac:dyDescent="0.3">
      <c r="A384" s="308" t="s">
        <v>613</v>
      </c>
      <c r="B384" s="309" t="s">
        <v>582</v>
      </c>
      <c r="C384" s="310" t="s">
        <v>1655</v>
      </c>
      <c r="D384" s="311">
        <v>23.32</v>
      </c>
      <c r="E384" s="312">
        <v>0.05</v>
      </c>
      <c r="F384" s="313">
        <v>0.05</v>
      </c>
      <c r="G384" s="2">
        <f t="shared" si="115"/>
        <v>1.1660000000000001</v>
      </c>
      <c r="H384" s="314">
        <f t="shared" si="116"/>
        <v>24.486000000000001</v>
      </c>
      <c r="I384" s="9">
        <f t="shared" si="117"/>
        <v>5.1420599999999999</v>
      </c>
      <c r="J384" s="315">
        <f t="shared" si="118"/>
        <v>29.628060000000001</v>
      </c>
      <c r="L384" s="153">
        <f t="shared" si="119"/>
        <v>1.1660000000000001</v>
      </c>
      <c r="M384" s="314">
        <f t="shared" si="120"/>
        <v>24.486000000000001</v>
      </c>
      <c r="N384" s="9">
        <f t="shared" si="121"/>
        <v>5.1420599999999999</v>
      </c>
      <c r="O384" s="315">
        <f t="shared" si="122"/>
        <v>29.628060000000001</v>
      </c>
    </row>
    <row r="385" spans="1:15" x14ac:dyDescent="0.3">
      <c r="A385" s="308" t="s">
        <v>646</v>
      </c>
      <c r="B385" s="309" t="s">
        <v>654</v>
      </c>
      <c r="C385" s="310" t="s">
        <v>1655</v>
      </c>
      <c r="D385" s="311">
        <v>26.65</v>
      </c>
      <c r="E385" s="312">
        <v>0.05</v>
      </c>
      <c r="F385" s="313">
        <v>0.05</v>
      </c>
      <c r="G385" s="2">
        <f t="shared" si="115"/>
        <v>1.3325</v>
      </c>
      <c r="H385" s="314">
        <f t="shared" si="116"/>
        <v>27.982499999999998</v>
      </c>
      <c r="I385" s="9">
        <f t="shared" si="117"/>
        <v>5.8763249999999996</v>
      </c>
      <c r="J385" s="315">
        <f t="shared" si="118"/>
        <v>33.858824999999996</v>
      </c>
      <c r="L385" s="153">
        <f t="shared" si="119"/>
        <v>1.3325</v>
      </c>
      <c r="M385" s="314">
        <f t="shared" si="120"/>
        <v>27.982499999999998</v>
      </c>
      <c r="N385" s="9">
        <f t="shared" si="121"/>
        <v>5.8763249999999996</v>
      </c>
      <c r="O385" s="315">
        <f t="shared" si="122"/>
        <v>33.858824999999996</v>
      </c>
    </row>
    <row r="386" spans="1:15" x14ac:dyDescent="0.3">
      <c r="A386" s="308" t="s">
        <v>649</v>
      </c>
      <c r="B386" s="309" t="s">
        <v>648</v>
      </c>
      <c r="C386" s="310" t="s">
        <v>1655</v>
      </c>
      <c r="D386" s="311">
        <v>29.98</v>
      </c>
      <c r="E386" s="312">
        <v>0.05</v>
      </c>
      <c r="F386" s="313">
        <v>0.05</v>
      </c>
      <c r="G386" s="2">
        <f t="shared" si="115"/>
        <v>1.4990000000000001</v>
      </c>
      <c r="H386" s="314">
        <f t="shared" si="116"/>
        <v>31.478999999999999</v>
      </c>
      <c r="I386" s="9">
        <f t="shared" si="117"/>
        <v>6.6105899999999993</v>
      </c>
      <c r="J386" s="315">
        <f t="shared" si="118"/>
        <v>38.089590000000001</v>
      </c>
      <c r="L386" s="153">
        <f t="shared" si="119"/>
        <v>1.4990000000000001</v>
      </c>
      <c r="M386" s="314">
        <f t="shared" si="120"/>
        <v>31.478999999999999</v>
      </c>
      <c r="N386" s="9">
        <f t="shared" si="121"/>
        <v>6.6105899999999993</v>
      </c>
      <c r="O386" s="315">
        <f t="shared" si="122"/>
        <v>38.089590000000001</v>
      </c>
    </row>
    <row r="387" spans="1:15" x14ac:dyDescent="0.3">
      <c r="A387" s="308" t="s">
        <v>650</v>
      </c>
      <c r="B387" s="309" t="s">
        <v>647</v>
      </c>
      <c r="C387" s="310" t="s">
        <v>1655</v>
      </c>
      <c r="D387" s="311">
        <v>33.31</v>
      </c>
      <c r="E387" s="312">
        <v>0.05</v>
      </c>
      <c r="F387" s="313">
        <v>0.05</v>
      </c>
      <c r="G387" s="2">
        <f t="shared" si="115"/>
        <v>1.6655000000000002</v>
      </c>
      <c r="H387" s="314">
        <f t="shared" si="116"/>
        <v>34.975500000000004</v>
      </c>
      <c r="I387" s="9">
        <f t="shared" si="117"/>
        <v>7.3448550000000008</v>
      </c>
      <c r="J387" s="315">
        <f t="shared" si="118"/>
        <v>42.320355000000006</v>
      </c>
      <c r="L387" s="153">
        <f t="shared" si="119"/>
        <v>1.6655000000000002</v>
      </c>
      <c r="M387" s="314">
        <f t="shared" si="120"/>
        <v>34.975500000000004</v>
      </c>
      <c r="N387" s="9">
        <f t="shared" si="121"/>
        <v>7.3448550000000008</v>
      </c>
      <c r="O387" s="315">
        <f t="shared" si="122"/>
        <v>42.320355000000006</v>
      </c>
    </row>
    <row r="388" spans="1:15" x14ac:dyDescent="0.3">
      <c r="A388" s="308" t="s">
        <v>652</v>
      </c>
      <c r="B388" s="309" t="s">
        <v>651</v>
      </c>
      <c r="C388" s="310" t="s">
        <v>1655</v>
      </c>
      <c r="D388" s="311">
        <v>36.64</v>
      </c>
      <c r="E388" s="312">
        <v>0.05</v>
      </c>
      <c r="F388" s="313">
        <v>0.05</v>
      </c>
      <c r="G388" s="2">
        <f t="shared" si="115"/>
        <v>1.8320000000000001</v>
      </c>
      <c r="H388" s="314">
        <f t="shared" si="116"/>
        <v>38.472000000000001</v>
      </c>
      <c r="I388" s="9">
        <f t="shared" si="117"/>
        <v>8.0791199999999996</v>
      </c>
      <c r="J388" s="315">
        <f t="shared" si="118"/>
        <v>46.551119999999997</v>
      </c>
      <c r="L388" s="153">
        <f t="shared" si="119"/>
        <v>1.8320000000000001</v>
      </c>
      <c r="M388" s="314">
        <f t="shared" si="120"/>
        <v>38.472000000000001</v>
      </c>
      <c r="N388" s="9">
        <f t="shared" si="121"/>
        <v>8.0791199999999996</v>
      </c>
      <c r="O388" s="315">
        <f t="shared" si="122"/>
        <v>46.551119999999997</v>
      </c>
    </row>
    <row r="389" spans="1:15" x14ac:dyDescent="0.3">
      <c r="A389" s="308" t="s">
        <v>655</v>
      </c>
      <c r="B389" s="309" t="s">
        <v>653</v>
      </c>
      <c r="C389" s="310" t="s">
        <v>1655</v>
      </c>
      <c r="D389" s="311">
        <v>39.97</v>
      </c>
      <c r="E389" s="312">
        <v>0.05</v>
      </c>
      <c r="F389" s="313">
        <v>0.05</v>
      </c>
      <c r="G389" s="2">
        <f t="shared" si="115"/>
        <v>1.9984999999999999</v>
      </c>
      <c r="H389" s="314">
        <f t="shared" si="116"/>
        <v>41.968499999999999</v>
      </c>
      <c r="I389" s="9">
        <f t="shared" si="117"/>
        <v>8.8133850000000002</v>
      </c>
      <c r="J389" s="315">
        <f t="shared" si="118"/>
        <v>50.781885000000003</v>
      </c>
      <c r="L389" s="153">
        <f t="shared" si="119"/>
        <v>1.9984999999999999</v>
      </c>
      <c r="M389" s="314">
        <f t="shared" si="120"/>
        <v>41.968499999999999</v>
      </c>
      <c r="N389" s="9">
        <f t="shared" si="121"/>
        <v>8.8133850000000002</v>
      </c>
      <c r="O389" s="315">
        <f t="shared" si="122"/>
        <v>50.781885000000003</v>
      </c>
    </row>
    <row r="390" spans="1:15" x14ac:dyDescent="0.3">
      <c r="A390" s="308" t="s">
        <v>854</v>
      </c>
      <c r="B390" s="309" t="s">
        <v>873</v>
      </c>
      <c r="C390" s="310" t="s">
        <v>1655</v>
      </c>
      <c r="D390" s="311">
        <v>43.3</v>
      </c>
      <c r="E390" s="312">
        <v>0.05</v>
      </c>
      <c r="F390" s="313">
        <v>0.05</v>
      </c>
      <c r="G390" s="2">
        <f t="shared" si="115"/>
        <v>2.165</v>
      </c>
      <c r="H390" s="314">
        <f t="shared" si="116"/>
        <v>45.464999999999996</v>
      </c>
      <c r="I390" s="9">
        <f t="shared" si="117"/>
        <v>9.5476499999999991</v>
      </c>
      <c r="J390" s="315">
        <f t="shared" si="118"/>
        <v>55.012649999999994</v>
      </c>
      <c r="L390" s="153">
        <f t="shared" si="119"/>
        <v>2.165</v>
      </c>
      <c r="M390" s="314">
        <f t="shared" si="120"/>
        <v>45.464999999999996</v>
      </c>
      <c r="N390" s="9">
        <f t="shared" si="121"/>
        <v>9.5476499999999991</v>
      </c>
      <c r="O390" s="315">
        <f t="shared" si="122"/>
        <v>55.012649999999994</v>
      </c>
    </row>
    <row r="391" spans="1:15" x14ac:dyDescent="0.3">
      <c r="A391" s="308" t="s">
        <v>855</v>
      </c>
      <c r="B391" s="309" t="s">
        <v>872</v>
      </c>
      <c r="C391" s="310" t="s">
        <v>1655</v>
      </c>
      <c r="D391" s="311">
        <v>46.63</v>
      </c>
      <c r="E391" s="312">
        <v>0.05</v>
      </c>
      <c r="F391" s="313">
        <v>0.05</v>
      </c>
      <c r="G391" s="2">
        <f t="shared" si="115"/>
        <v>2.3315000000000001</v>
      </c>
      <c r="H391" s="314">
        <f t="shared" si="116"/>
        <v>48.961500000000001</v>
      </c>
      <c r="I391" s="9">
        <f t="shared" si="117"/>
        <v>10.281915</v>
      </c>
      <c r="J391" s="315">
        <f t="shared" si="118"/>
        <v>59.243414999999999</v>
      </c>
      <c r="L391" s="153">
        <f t="shared" si="119"/>
        <v>2.3315000000000001</v>
      </c>
      <c r="M391" s="314">
        <f t="shared" si="120"/>
        <v>48.961500000000001</v>
      </c>
      <c r="N391" s="9">
        <f t="shared" si="121"/>
        <v>10.281915</v>
      </c>
      <c r="O391" s="315">
        <f t="shared" si="122"/>
        <v>59.243414999999999</v>
      </c>
    </row>
    <row r="392" spans="1:15" x14ac:dyDescent="0.3">
      <c r="A392" s="308" t="s">
        <v>1070</v>
      </c>
      <c r="B392" s="309" t="s">
        <v>1071</v>
      </c>
      <c r="C392" s="310" t="s">
        <v>1655</v>
      </c>
      <c r="D392" s="311">
        <v>49.96</v>
      </c>
      <c r="E392" s="312">
        <v>0.05</v>
      </c>
      <c r="F392" s="313">
        <v>0.05</v>
      </c>
      <c r="G392" s="2">
        <f t="shared" si="115"/>
        <v>2.4980000000000002</v>
      </c>
      <c r="H392" s="314">
        <f t="shared" si="116"/>
        <v>52.457999999999998</v>
      </c>
      <c r="I392" s="9">
        <f t="shared" si="117"/>
        <v>11.016179999999999</v>
      </c>
      <c r="J392" s="315">
        <f t="shared" si="118"/>
        <v>63.474179999999997</v>
      </c>
      <c r="L392" s="153">
        <f t="shared" si="119"/>
        <v>2.4980000000000002</v>
      </c>
      <c r="M392" s="314">
        <f t="shared" si="120"/>
        <v>52.457999999999998</v>
      </c>
      <c r="N392" s="9">
        <f t="shared" si="121"/>
        <v>11.016179999999999</v>
      </c>
      <c r="O392" s="315">
        <f t="shared" si="122"/>
        <v>63.474179999999997</v>
      </c>
    </row>
    <row r="393" spans="1:15" x14ac:dyDescent="0.3">
      <c r="A393" s="308" t="s">
        <v>1080</v>
      </c>
      <c r="B393" s="309" t="s">
        <v>1081</v>
      </c>
      <c r="C393" s="310" t="s">
        <v>1655</v>
      </c>
      <c r="D393" s="311">
        <v>53.29</v>
      </c>
      <c r="E393" s="312">
        <v>0.05</v>
      </c>
      <c r="F393" s="313">
        <v>0.05</v>
      </c>
      <c r="G393" s="2">
        <f t="shared" si="115"/>
        <v>2.6645000000000003</v>
      </c>
      <c r="H393" s="314">
        <f t="shared" si="116"/>
        <v>55.954499999999996</v>
      </c>
      <c r="I393" s="9">
        <f t="shared" si="117"/>
        <v>11.750444999999999</v>
      </c>
      <c r="J393" s="315">
        <f t="shared" si="118"/>
        <v>67.704944999999995</v>
      </c>
      <c r="L393" s="153">
        <f t="shared" si="119"/>
        <v>2.6645000000000003</v>
      </c>
      <c r="M393" s="314">
        <f t="shared" si="120"/>
        <v>55.954499999999996</v>
      </c>
      <c r="N393" s="9">
        <f t="shared" si="121"/>
        <v>11.750444999999999</v>
      </c>
      <c r="O393" s="315">
        <f t="shared" si="122"/>
        <v>67.704944999999995</v>
      </c>
    </row>
    <row r="394" spans="1:15" x14ac:dyDescent="0.3">
      <c r="A394" s="308" t="s">
        <v>1205</v>
      </c>
      <c r="B394" s="309" t="s">
        <v>1206</v>
      </c>
      <c r="C394" s="310" t="s">
        <v>1655</v>
      </c>
      <c r="D394" s="311">
        <v>56.62</v>
      </c>
      <c r="E394" s="312">
        <v>0.05</v>
      </c>
      <c r="F394" s="313">
        <v>0.05</v>
      </c>
      <c r="G394" s="2">
        <f t="shared" si="115"/>
        <v>2.831</v>
      </c>
      <c r="H394" s="314">
        <f t="shared" si="116"/>
        <v>59.451000000000001</v>
      </c>
      <c r="I394" s="9">
        <f t="shared" si="117"/>
        <v>12.48471</v>
      </c>
      <c r="J394" s="315">
        <f t="shared" si="118"/>
        <v>71.93571</v>
      </c>
      <c r="L394" s="153">
        <f t="shared" si="119"/>
        <v>2.831</v>
      </c>
      <c r="M394" s="314">
        <f t="shared" si="120"/>
        <v>59.451000000000001</v>
      </c>
      <c r="N394" s="9">
        <f t="shared" si="121"/>
        <v>12.48471</v>
      </c>
      <c r="O394" s="315">
        <f t="shared" si="122"/>
        <v>71.93571</v>
      </c>
    </row>
    <row r="395" spans="1:15" x14ac:dyDescent="0.3">
      <c r="A395" s="308" t="s">
        <v>1505</v>
      </c>
      <c r="B395" s="309" t="s">
        <v>337</v>
      </c>
      <c r="C395" s="310" t="s">
        <v>1655</v>
      </c>
      <c r="D395" s="311">
        <v>59.95</v>
      </c>
      <c r="E395" s="312">
        <v>0.05</v>
      </c>
      <c r="F395" s="313">
        <v>0.05</v>
      </c>
      <c r="G395" s="2">
        <f>D395*E395</f>
        <v>2.9975000000000005</v>
      </c>
      <c r="H395" s="314">
        <f>G395+D395</f>
        <v>62.947500000000005</v>
      </c>
      <c r="I395" s="9">
        <f>H395*0.21</f>
        <v>13.218975</v>
      </c>
      <c r="J395" s="315">
        <f>H395+I395</f>
        <v>76.166475000000005</v>
      </c>
      <c r="L395" s="153">
        <f t="shared" si="119"/>
        <v>2.9975000000000005</v>
      </c>
      <c r="M395" s="314">
        <f t="shared" si="120"/>
        <v>62.947500000000005</v>
      </c>
      <c r="N395" s="9">
        <f t="shared" si="121"/>
        <v>13.218975</v>
      </c>
      <c r="O395" s="315">
        <f t="shared" si="122"/>
        <v>76.166475000000005</v>
      </c>
    </row>
    <row r="396" spans="1:15" x14ac:dyDescent="0.3">
      <c r="A396" s="308" t="s">
        <v>1506</v>
      </c>
      <c r="B396" s="309" t="s">
        <v>1090</v>
      </c>
      <c r="C396" s="310" t="s">
        <v>1655</v>
      </c>
      <c r="D396" s="311">
        <v>63.28</v>
      </c>
      <c r="E396" s="312">
        <v>0.05</v>
      </c>
      <c r="F396" s="313">
        <v>0.05</v>
      </c>
      <c r="G396" s="2">
        <f>D396*E396</f>
        <v>3.1640000000000001</v>
      </c>
      <c r="H396" s="314">
        <f>G396+D396</f>
        <v>66.444000000000003</v>
      </c>
      <c r="I396" s="9">
        <f>H396*0.21</f>
        <v>13.953239999999999</v>
      </c>
      <c r="J396" s="315">
        <f>H396+I396</f>
        <v>80.397239999999996</v>
      </c>
      <c r="L396" s="153">
        <f t="shared" si="119"/>
        <v>3.1640000000000001</v>
      </c>
      <c r="M396" s="314">
        <f t="shared" si="120"/>
        <v>66.444000000000003</v>
      </c>
      <c r="N396" s="9">
        <f t="shared" si="121"/>
        <v>13.953239999999999</v>
      </c>
      <c r="O396" s="315">
        <f t="shared" si="122"/>
        <v>80.397239999999996</v>
      </c>
    </row>
    <row r="397" spans="1:15" x14ac:dyDescent="0.3">
      <c r="A397" s="308" t="s">
        <v>1565</v>
      </c>
      <c r="B397" s="309" t="s">
        <v>325</v>
      </c>
      <c r="C397" s="310" t="s">
        <v>1655</v>
      </c>
      <c r="D397" s="311">
        <v>66.61</v>
      </c>
      <c r="E397" s="312">
        <v>0.05</v>
      </c>
      <c r="F397" s="313">
        <v>0.05</v>
      </c>
      <c r="G397" s="2">
        <f t="shared" ref="G397" si="123">D397*E397</f>
        <v>3.3305000000000002</v>
      </c>
      <c r="H397" s="314">
        <f t="shared" ref="H397" si="124">G397+D397</f>
        <v>69.9405</v>
      </c>
      <c r="I397" s="9">
        <f t="shared" ref="I397" si="125">H397*0.21</f>
        <v>14.687505</v>
      </c>
      <c r="J397" s="315">
        <f t="shared" ref="J397" si="126">H397+I397</f>
        <v>84.628005000000002</v>
      </c>
      <c r="L397" s="153">
        <f t="shared" si="119"/>
        <v>3.3305000000000002</v>
      </c>
      <c r="M397" s="314">
        <f t="shared" si="120"/>
        <v>69.9405</v>
      </c>
      <c r="N397" s="9">
        <f t="shared" si="121"/>
        <v>14.687505</v>
      </c>
      <c r="O397" s="315">
        <f t="shared" si="122"/>
        <v>84.628005000000002</v>
      </c>
    </row>
    <row r="399" spans="1:15" x14ac:dyDescent="0.3">
      <c r="A399" s="394" t="s">
        <v>842</v>
      </c>
      <c r="B399" s="395" t="s">
        <v>841</v>
      </c>
      <c r="C399" s="396" t="s">
        <v>1655</v>
      </c>
      <c r="D399" s="397">
        <v>5.5</v>
      </c>
      <c r="E399" s="398">
        <v>0.15</v>
      </c>
      <c r="F399" s="399">
        <v>0.2</v>
      </c>
      <c r="G399" s="2">
        <f t="shared" ref="G399:G406" si="127">D399*E399</f>
        <v>0.82499999999999996</v>
      </c>
      <c r="H399" s="400">
        <f t="shared" ref="H399:H406" si="128">G399+D399</f>
        <v>6.3250000000000002</v>
      </c>
      <c r="I399" s="9">
        <f t="shared" ref="I399:I406" si="129">H399*0.21</f>
        <v>1.3282499999999999</v>
      </c>
      <c r="J399" s="401">
        <f t="shared" ref="J399:J406" si="130">H399+I399</f>
        <v>7.6532499999999999</v>
      </c>
      <c r="L399" s="153">
        <f t="shared" ref="L399:L406" si="131">D399*F399</f>
        <v>1.1000000000000001</v>
      </c>
      <c r="M399" s="400">
        <f t="shared" ref="M399:M406" si="132">D399+L399</f>
        <v>6.6</v>
      </c>
      <c r="N399" s="9">
        <f t="shared" ref="N399:N406" si="133">M399*0.21</f>
        <v>1.3859999999999999</v>
      </c>
      <c r="O399" s="401">
        <f t="shared" ref="O399:O406" si="134">M399+N399</f>
        <v>7.9859999999999998</v>
      </c>
    </row>
    <row r="400" spans="1:15" x14ac:dyDescent="0.3">
      <c r="A400" s="394" t="s">
        <v>843</v>
      </c>
      <c r="B400" s="395" t="s">
        <v>357</v>
      </c>
      <c r="C400" s="396" t="s">
        <v>1655</v>
      </c>
      <c r="D400" s="397">
        <v>6</v>
      </c>
      <c r="E400" s="398">
        <v>0.15</v>
      </c>
      <c r="F400" s="399">
        <v>0.2</v>
      </c>
      <c r="G400" s="2">
        <f t="shared" si="127"/>
        <v>0.89999999999999991</v>
      </c>
      <c r="H400" s="400">
        <f t="shared" si="128"/>
        <v>6.9</v>
      </c>
      <c r="I400" s="9">
        <f t="shared" si="129"/>
        <v>1.4490000000000001</v>
      </c>
      <c r="J400" s="401">
        <f t="shared" si="130"/>
        <v>8.3490000000000002</v>
      </c>
      <c r="L400" s="153">
        <f t="shared" si="131"/>
        <v>1.2000000000000002</v>
      </c>
      <c r="M400" s="400">
        <f t="shared" si="132"/>
        <v>7.2</v>
      </c>
      <c r="N400" s="9">
        <f t="shared" si="133"/>
        <v>1.512</v>
      </c>
      <c r="O400" s="401">
        <f t="shared" si="134"/>
        <v>8.7119999999999997</v>
      </c>
    </row>
    <row r="401" spans="1:15" x14ac:dyDescent="0.3">
      <c r="A401" s="394" t="s">
        <v>992</v>
      </c>
      <c r="B401" s="395" t="s">
        <v>993</v>
      </c>
      <c r="C401" s="396" t="s">
        <v>1655</v>
      </c>
      <c r="D401" s="397">
        <v>6.5</v>
      </c>
      <c r="E401" s="398">
        <v>0.15</v>
      </c>
      <c r="F401" s="399">
        <v>0.2</v>
      </c>
      <c r="G401" s="2">
        <f t="shared" si="127"/>
        <v>0.97499999999999998</v>
      </c>
      <c r="H401" s="400">
        <f t="shared" si="128"/>
        <v>7.4749999999999996</v>
      </c>
      <c r="I401" s="9">
        <f t="shared" si="129"/>
        <v>1.5697499999999998</v>
      </c>
      <c r="J401" s="401">
        <f t="shared" si="130"/>
        <v>9.0447499999999987</v>
      </c>
      <c r="L401" s="153">
        <f t="shared" si="131"/>
        <v>1.3</v>
      </c>
      <c r="M401" s="400">
        <f t="shared" si="132"/>
        <v>7.8</v>
      </c>
      <c r="N401" s="9">
        <f t="shared" si="133"/>
        <v>1.6379999999999999</v>
      </c>
      <c r="O401" s="401">
        <f t="shared" si="134"/>
        <v>9.4379999999999988</v>
      </c>
    </row>
    <row r="402" spans="1:15" x14ac:dyDescent="0.3">
      <c r="A402" s="394" t="s">
        <v>996</v>
      </c>
      <c r="B402" s="395" t="s">
        <v>997</v>
      </c>
      <c r="C402" s="396" t="s">
        <v>1655</v>
      </c>
      <c r="D402" s="397">
        <v>7</v>
      </c>
      <c r="E402" s="398">
        <v>0.15</v>
      </c>
      <c r="F402" s="399">
        <v>0.2</v>
      </c>
      <c r="G402" s="2">
        <f t="shared" si="127"/>
        <v>1.05</v>
      </c>
      <c r="H402" s="400">
        <f t="shared" si="128"/>
        <v>8.0500000000000007</v>
      </c>
      <c r="I402" s="9">
        <f t="shared" si="129"/>
        <v>1.6905000000000001</v>
      </c>
      <c r="J402" s="401">
        <f t="shared" si="130"/>
        <v>9.7405000000000008</v>
      </c>
      <c r="L402" s="153">
        <f t="shared" si="131"/>
        <v>1.4000000000000001</v>
      </c>
      <c r="M402" s="400">
        <f t="shared" si="132"/>
        <v>8.4</v>
      </c>
      <c r="N402" s="9">
        <f t="shared" si="133"/>
        <v>1.764</v>
      </c>
      <c r="O402" s="401">
        <f t="shared" si="134"/>
        <v>10.164</v>
      </c>
    </row>
    <row r="403" spans="1:15" x14ac:dyDescent="0.3">
      <c r="A403" s="394" t="s">
        <v>1456</v>
      </c>
      <c r="B403" s="395" t="s">
        <v>1344</v>
      </c>
      <c r="C403" s="396" t="s">
        <v>1655</v>
      </c>
      <c r="D403" s="397">
        <v>7.5</v>
      </c>
      <c r="E403" s="398">
        <v>0.15</v>
      </c>
      <c r="F403" s="399">
        <v>0.2</v>
      </c>
      <c r="G403" s="2">
        <f t="shared" si="127"/>
        <v>1.125</v>
      </c>
      <c r="H403" s="400">
        <f t="shared" si="128"/>
        <v>8.625</v>
      </c>
      <c r="I403" s="9">
        <f t="shared" si="129"/>
        <v>1.81125</v>
      </c>
      <c r="J403" s="401">
        <f t="shared" si="130"/>
        <v>10.436249999999999</v>
      </c>
      <c r="L403" s="153">
        <f t="shared" si="131"/>
        <v>1.5</v>
      </c>
      <c r="M403" s="400">
        <f t="shared" si="132"/>
        <v>9</v>
      </c>
      <c r="N403" s="9">
        <f t="shared" si="133"/>
        <v>1.89</v>
      </c>
      <c r="O403" s="401">
        <f t="shared" si="134"/>
        <v>10.89</v>
      </c>
    </row>
    <row r="404" spans="1:15" x14ac:dyDescent="0.3">
      <c r="A404" s="394" t="s">
        <v>1465</v>
      </c>
      <c r="B404" s="395" t="s">
        <v>1466</v>
      </c>
      <c r="C404" s="396" t="s">
        <v>1655</v>
      </c>
      <c r="D404" s="397">
        <v>8</v>
      </c>
      <c r="E404" s="398">
        <v>0.15</v>
      </c>
      <c r="F404" s="399">
        <v>0.2</v>
      </c>
      <c r="G404" s="2">
        <f t="shared" si="127"/>
        <v>1.2</v>
      </c>
      <c r="H404" s="400">
        <f t="shared" si="128"/>
        <v>9.1999999999999993</v>
      </c>
      <c r="I404" s="9">
        <f t="shared" si="129"/>
        <v>1.9319999999999997</v>
      </c>
      <c r="J404" s="401">
        <f t="shared" si="130"/>
        <v>11.132</v>
      </c>
      <c r="L404" s="153">
        <f t="shared" si="131"/>
        <v>1.6</v>
      </c>
      <c r="M404" s="400">
        <f t="shared" si="132"/>
        <v>9.6</v>
      </c>
      <c r="N404" s="9">
        <f t="shared" si="133"/>
        <v>2.016</v>
      </c>
      <c r="O404" s="401">
        <f t="shared" si="134"/>
        <v>11.616</v>
      </c>
    </row>
    <row r="405" spans="1:15" x14ac:dyDescent="0.3">
      <c r="A405" s="394" t="s">
        <v>1467</v>
      </c>
      <c r="B405" s="395" t="s">
        <v>1468</v>
      </c>
      <c r="C405" s="396" t="s">
        <v>1655</v>
      </c>
      <c r="D405" s="397">
        <v>8.5</v>
      </c>
      <c r="E405" s="398">
        <v>0.15</v>
      </c>
      <c r="F405" s="399">
        <v>0.2</v>
      </c>
      <c r="G405" s="2">
        <f t="shared" si="127"/>
        <v>1.2749999999999999</v>
      </c>
      <c r="H405" s="400">
        <f t="shared" si="128"/>
        <v>9.7750000000000004</v>
      </c>
      <c r="I405" s="9">
        <f t="shared" si="129"/>
        <v>2.0527500000000001</v>
      </c>
      <c r="J405" s="401">
        <f t="shared" si="130"/>
        <v>11.82775</v>
      </c>
      <c r="L405" s="153">
        <f t="shared" si="131"/>
        <v>1.7000000000000002</v>
      </c>
      <c r="M405" s="400">
        <f t="shared" si="132"/>
        <v>10.199999999999999</v>
      </c>
      <c r="N405" s="9">
        <f t="shared" si="133"/>
        <v>2.1419999999999999</v>
      </c>
      <c r="O405" s="401">
        <f t="shared" si="134"/>
        <v>12.341999999999999</v>
      </c>
    </row>
    <row r="406" spans="1:15" x14ac:dyDescent="0.3">
      <c r="A406" s="394" t="s">
        <v>1481</v>
      </c>
      <c r="B406" s="395" t="s">
        <v>1482</v>
      </c>
      <c r="C406" s="396" t="s">
        <v>1655</v>
      </c>
      <c r="D406" s="397">
        <v>9</v>
      </c>
      <c r="E406" s="398">
        <v>0.15</v>
      </c>
      <c r="F406" s="399">
        <v>0.2</v>
      </c>
      <c r="G406" s="2">
        <f t="shared" si="127"/>
        <v>1.3499999999999999</v>
      </c>
      <c r="H406" s="400">
        <f t="shared" si="128"/>
        <v>10.35</v>
      </c>
      <c r="I406" s="9">
        <f t="shared" si="129"/>
        <v>2.1734999999999998</v>
      </c>
      <c r="J406" s="401">
        <f t="shared" si="130"/>
        <v>12.523499999999999</v>
      </c>
      <c r="L406" s="153">
        <f t="shared" si="131"/>
        <v>1.8</v>
      </c>
      <c r="M406" s="400">
        <f t="shared" si="132"/>
        <v>10.8</v>
      </c>
      <c r="N406" s="9">
        <f t="shared" si="133"/>
        <v>2.2680000000000002</v>
      </c>
      <c r="O406" s="401">
        <f t="shared" si="134"/>
        <v>13.068000000000001</v>
      </c>
    </row>
    <row r="408" spans="1:15" x14ac:dyDescent="0.3">
      <c r="A408" s="490" t="s">
        <v>1488</v>
      </c>
      <c r="B408" s="491" t="s">
        <v>1489</v>
      </c>
      <c r="C408" s="492" t="s">
        <v>1655</v>
      </c>
      <c r="D408" s="493">
        <v>5.6</v>
      </c>
      <c r="E408" s="494">
        <v>0.4</v>
      </c>
      <c r="F408" s="495">
        <v>0.8</v>
      </c>
      <c r="G408" s="2">
        <f t="shared" ref="G408:G413" si="135">D408*E408</f>
        <v>2.2399999999999998</v>
      </c>
      <c r="H408" s="496">
        <f t="shared" ref="H408:H413" si="136">G408+D408</f>
        <v>7.84</v>
      </c>
      <c r="I408" s="9">
        <f t="shared" ref="I408:I413" si="137">H408*0.21</f>
        <v>1.6463999999999999</v>
      </c>
      <c r="J408" s="497">
        <f t="shared" ref="J408:J413" si="138">H408+I408</f>
        <v>9.4863999999999997</v>
      </c>
      <c r="L408" s="153">
        <f t="shared" ref="L408:L413" si="139">D408*F408</f>
        <v>4.4799999999999995</v>
      </c>
      <c r="M408" s="496">
        <f t="shared" ref="M408:M413" si="140">D408+L408</f>
        <v>10.079999999999998</v>
      </c>
      <c r="N408" s="9">
        <f t="shared" ref="N408:N413" si="141">M408*0.21</f>
        <v>2.1167999999999996</v>
      </c>
      <c r="O408" s="497">
        <f t="shared" ref="O408:O413" si="142">M408+N408</f>
        <v>12.196799999999998</v>
      </c>
    </row>
    <row r="409" spans="1:15" x14ac:dyDescent="0.3">
      <c r="A409" s="490" t="s">
        <v>1496</v>
      </c>
      <c r="B409" s="491" t="s">
        <v>1497</v>
      </c>
      <c r="C409" s="492" t="s">
        <v>1655</v>
      </c>
      <c r="D409" s="493">
        <v>5.9</v>
      </c>
      <c r="E409" s="494">
        <v>0.4</v>
      </c>
      <c r="F409" s="495">
        <v>0.8</v>
      </c>
      <c r="G409" s="2">
        <f t="shared" si="135"/>
        <v>2.3600000000000003</v>
      </c>
      <c r="H409" s="496">
        <f t="shared" si="136"/>
        <v>8.2600000000000016</v>
      </c>
      <c r="I409" s="9">
        <f t="shared" si="137"/>
        <v>1.7346000000000004</v>
      </c>
      <c r="J409" s="497">
        <f t="shared" si="138"/>
        <v>9.9946000000000019</v>
      </c>
      <c r="L409" s="153">
        <f t="shared" si="139"/>
        <v>4.7200000000000006</v>
      </c>
      <c r="M409" s="496">
        <f t="shared" si="140"/>
        <v>10.620000000000001</v>
      </c>
      <c r="N409" s="9">
        <f t="shared" si="141"/>
        <v>2.2302</v>
      </c>
      <c r="O409" s="497">
        <f t="shared" si="142"/>
        <v>12.850200000000001</v>
      </c>
    </row>
    <row r="410" spans="1:15" x14ac:dyDescent="0.3">
      <c r="A410" s="490" t="s">
        <v>1498</v>
      </c>
      <c r="B410" s="491" t="s">
        <v>1499</v>
      </c>
      <c r="C410" s="492" t="s">
        <v>1655</v>
      </c>
      <c r="D410" s="493">
        <v>6.2</v>
      </c>
      <c r="E410" s="494">
        <v>0.4</v>
      </c>
      <c r="F410" s="495">
        <v>0.8</v>
      </c>
      <c r="G410" s="2">
        <f t="shared" si="135"/>
        <v>2.4800000000000004</v>
      </c>
      <c r="H410" s="496">
        <f t="shared" si="136"/>
        <v>8.68</v>
      </c>
      <c r="I410" s="9">
        <f t="shared" si="137"/>
        <v>1.8228</v>
      </c>
      <c r="J410" s="497">
        <f t="shared" si="138"/>
        <v>10.502800000000001</v>
      </c>
      <c r="L410" s="153">
        <f t="shared" si="139"/>
        <v>4.9600000000000009</v>
      </c>
      <c r="M410" s="496">
        <f t="shared" si="140"/>
        <v>11.16</v>
      </c>
      <c r="N410" s="9">
        <f t="shared" si="141"/>
        <v>2.3435999999999999</v>
      </c>
      <c r="O410" s="497">
        <f t="shared" si="142"/>
        <v>13.5036</v>
      </c>
    </row>
    <row r="411" spans="1:15" x14ac:dyDescent="0.3">
      <c r="A411" s="490" t="s">
        <v>1647</v>
      </c>
      <c r="B411" s="491" t="s">
        <v>1650</v>
      </c>
      <c r="C411" s="492" t="s">
        <v>1655</v>
      </c>
      <c r="D411" s="493">
        <v>6.5</v>
      </c>
      <c r="E411" s="494">
        <v>0.4</v>
      </c>
      <c r="F411" s="495">
        <v>0.8</v>
      </c>
      <c r="G411" s="2">
        <f t="shared" si="135"/>
        <v>2.6</v>
      </c>
      <c r="H411" s="496">
        <f t="shared" si="136"/>
        <v>9.1</v>
      </c>
      <c r="I411" s="9">
        <f t="shared" si="137"/>
        <v>1.9109999999999998</v>
      </c>
      <c r="J411" s="497">
        <f t="shared" si="138"/>
        <v>11.010999999999999</v>
      </c>
      <c r="L411" s="153">
        <f t="shared" si="139"/>
        <v>5.2</v>
      </c>
      <c r="M411" s="496">
        <f t="shared" si="140"/>
        <v>11.7</v>
      </c>
      <c r="N411" s="9">
        <f t="shared" si="141"/>
        <v>2.4569999999999999</v>
      </c>
      <c r="O411" s="497">
        <f t="shared" si="142"/>
        <v>14.157</v>
      </c>
    </row>
    <row r="412" spans="1:15" x14ac:dyDescent="0.3">
      <c r="A412" s="490" t="s">
        <v>2213</v>
      </c>
      <c r="B412" s="491" t="s">
        <v>2214</v>
      </c>
      <c r="C412" s="492" t="s">
        <v>1655</v>
      </c>
      <c r="D412" s="493">
        <v>6.8</v>
      </c>
      <c r="E412" s="494">
        <v>0.4</v>
      </c>
      <c r="F412" s="495">
        <v>0.8</v>
      </c>
      <c r="G412" s="2">
        <f t="shared" si="135"/>
        <v>2.72</v>
      </c>
      <c r="H412" s="496">
        <f t="shared" si="136"/>
        <v>9.52</v>
      </c>
      <c r="I412" s="9">
        <f t="shared" si="137"/>
        <v>1.9991999999999999</v>
      </c>
      <c r="J412" s="497">
        <f t="shared" si="138"/>
        <v>11.5192</v>
      </c>
      <c r="L412" s="153">
        <f t="shared" si="139"/>
        <v>5.44</v>
      </c>
      <c r="M412" s="496">
        <f t="shared" si="140"/>
        <v>12.24</v>
      </c>
      <c r="N412" s="9">
        <f t="shared" si="141"/>
        <v>2.5703999999999998</v>
      </c>
      <c r="O412" s="497">
        <f t="shared" si="142"/>
        <v>14.8104</v>
      </c>
    </row>
    <row r="413" spans="1:15" x14ac:dyDescent="0.3">
      <c r="A413" s="490" t="s">
        <v>2215</v>
      </c>
      <c r="B413" s="491" t="s">
        <v>2216</v>
      </c>
      <c r="C413" s="492" t="s">
        <v>1655</v>
      </c>
      <c r="D413" s="493">
        <v>7.1</v>
      </c>
      <c r="E413" s="494">
        <v>0.4</v>
      </c>
      <c r="F413" s="495">
        <v>0.8</v>
      </c>
      <c r="G413" s="2">
        <f t="shared" si="135"/>
        <v>2.84</v>
      </c>
      <c r="H413" s="496">
        <f t="shared" si="136"/>
        <v>9.94</v>
      </c>
      <c r="I413" s="9">
        <f t="shared" si="137"/>
        <v>2.0873999999999997</v>
      </c>
      <c r="J413" s="497">
        <f t="shared" si="138"/>
        <v>12.0274</v>
      </c>
      <c r="L413" s="153">
        <f t="shared" si="139"/>
        <v>5.68</v>
      </c>
      <c r="M413" s="496">
        <f t="shared" si="140"/>
        <v>12.78</v>
      </c>
      <c r="N413" s="9">
        <f t="shared" si="141"/>
        <v>2.6837999999999997</v>
      </c>
      <c r="O413" s="497">
        <f t="shared" si="142"/>
        <v>15.463799999999999</v>
      </c>
    </row>
    <row r="415" spans="1:15" x14ac:dyDescent="0.3">
      <c r="A415" s="507" t="s">
        <v>1641</v>
      </c>
      <c r="B415" s="506" t="s">
        <v>1642</v>
      </c>
      <c r="C415" s="508" t="s">
        <v>1655</v>
      </c>
      <c r="D415" s="509">
        <v>2.4300000000000002</v>
      </c>
      <c r="E415" s="510">
        <v>0.13</v>
      </c>
      <c r="F415" s="517">
        <v>0.2</v>
      </c>
      <c r="G415" s="2">
        <f t="shared" ref="G415" si="143">D415*E415</f>
        <v>0.31590000000000001</v>
      </c>
      <c r="H415" s="511">
        <f t="shared" ref="H415" si="144">G415+D415</f>
        <v>2.7459000000000002</v>
      </c>
      <c r="I415" s="9">
        <f t="shared" ref="I415" si="145">H415*0.21</f>
        <v>0.57663900000000001</v>
      </c>
      <c r="J415" s="512">
        <f t="shared" ref="J415" si="146">H415+I415</f>
        <v>3.3225390000000004</v>
      </c>
      <c r="L415" s="153">
        <f t="shared" ref="L415" si="147">D415*F415</f>
        <v>0.48600000000000004</v>
      </c>
      <c r="M415" s="511">
        <f t="shared" ref="M415" si="148">D415+L415</f>
        <v>2.9160000000000004</v>
      </c>
      <c r="N415" s="9">
        <f t="shared" ref="N415" si="149">M415*0.21</f>
        <v>0.61236000000000002</v>
      </c>
      <c r="O415" s="512">
        <f t="shared" ref="O415" si="150">M415+N415</f>
        <v>3.5283600000000002</v>
      </c>
    </row>
  </sheetData>
  <mergeCells count="5">
    <mergeCell ref="A1:D4"/>
    <mergeCell ref="A6:D7"/>
    <mergeCell ref="A8:D9"/>
    <mergeCell ref="E10:F10"/>
    <mergeCell ref="L10:O1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O160"/>
  <sheetViews>
    <sheetView zoomScale="90" zoomScaleNormal="90" workbookViewId="0">
      <selection activeCell="B76" sqref="B76"/>
    </sheetView>
  </sheetViews>
  <sheetFormatPr defaultRowHeight="14.4" x14ac:dyDescent="0.3"/>
  <cols>
    <col min="1" max="1" width="9.109375" customWidth="1"/>
    <col min="2" max="2" width="41.6640625" customWidth="1"/>
    <col min="3" max="3" width="17.6640625" customWidth="1"/>
    <col min="4" max="4" width="18.44140625" customWidth="1"/>
    <col min="5" max="5" width="10.33203125" customWidth="1"/>
    <col min="6" max="6" width="10.109375" customWidth="1"/>
    <col min="7" max="7" width="11.109375" customWidth="1"/>
    <col min="8" max="8" width="16.109375" customWidth="1"/>
    <col min="9" max="9" width="9" customWidth="1"/>
    <col min="10" max="10" width="11.6640625" customWidth="1"/>
    <col min="13" max="13" width="9.88671875" customWidth="1"/>
    <col min="15" max="15" width="10.44140625" customWidth="1"/>
  </cols>
  <sheetData>
    <row r="1" spans="1:15" x14ac:dyDescent="0.3">
      <c r="A1" s="518"/>
      <c r="B1" s="519"/>
      <c r="C1" s="520"/>
    </row>
    <row r="2" spans="1:15" x14ac:dyDescent="0.3">
      <c r="A2" s="521"/>
      <c r="B2" s="522"/>
      <c r="C2" s="523"/>
    </row>
    <row r="3" spans="1:15" x14ac:dyDescent="0.3">
      <c r="A3" s="521"/>
      <c r="B3" s="522"/>
      <c r="C3" s="523"/>
    </row>
    <row r="4" spans="1:15" x14ac:dyDescent="0.3">
      <c r="A4" s="524"/>
      <c r="B4" s="525"/>
      <c r="C4" s="526"/>
    </row>
    <row r="6" spans="1:15" ht="15" customHeight="1" x14ac:dyDescent="0.3">
      <c r="A6" s="527" t="s">
        <v>1657</v>
      </c>
      <c r="B6" s="528"/>
      <c r="C6" s="528"/>
      <c r="D6" s="529"/>
    </row>
    <row r="7" spans="1:15" ht="15" customHeight="1" x14ac:dyDescent="0.3">
      <c r="A7" s="530"/>
      <c r="B7" s="531"/>
      <c r="C7" s="531"/>
      <c r="D7" s="532"/>
    </row>
    <row r="8" spans="1:15" ht="15" customHeight="1" x14ac:dyDescent="0.3">
      <c r="A8" s="533" t="s">
        <v>2218</v>
      </c>
      <c r="B8" s="534"/>
      <c r="C8" s="534"/>
      <c r="D8" s="535"/>
    </row>
    <row r="9" spans="1:15" ht="15" customHeight="1" x14ac:dyDescent="0.3">
      <c r="A9" s="536"/>
      <c r="B9" s="537"/>
      <c r="C9" s="537"/>
      <c r="D9" s="538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ht="14.4" customHeight="1" x14ac:dyDescent="0.3">
      <c r="A12" s="67" t="s">
        <v>144</v>
      </c>
      <c r="B12" s="68" t="s">
        <v>53</v>
      </c>
      <c r="C12" s="69" t="s">
        <v>1655</v>
      </c>
      <c r="D12" s="70">
        <v>23.37</v>
      </c>
      <c r="E12" s="71">
        <v>0.35</v>
      </c>
      <c r="F12" s="169">
        <v>0.5</v>
      </c>
      <c r="G12" s="2">
        <f t="shared" ref="G12:G14" si="0">D12*E12</f>
        <v>8.1794999999999991</v>
      </c>
      <c r="H12" s="72">
        <f t="shared" ref="H12:H14" si="1">G12+D12</f>
        <v>31.549500000000002</v>
      </c>
      <c r="I12" s="9">
        <f t="shared" ref="I12:I13" si="2">H12*0.21</f>
        <v>6.6253950000000001</v>
      </c>
      <c r="J12" s="73">
        <f t="shared" ref="J12:J13" si="3">H12+I12</f>
        <v>38.174894999999999</v>
      </c>
      <c r="L12" s="153">
        <f>D12*F12</f>
        <v>11.685</v>
      </c>
      <c r="M12" s="72">
        <f>D12+L12</f>
        <v>35.055</v>
      </c>
      <c r="N12" s="9">
        <f>M12*0.21</f>
        <v>7.3615499999999994</v>
      </c>
      <c r="O12" s="73">
        <f>M12+N12</f>
        <v>42.416550000000001</v>
      </c>
    </row>
    <row r="13" spans="1:15" x14ac:dyDescent="0.3">
      <c r="A13" s="67" t="s">
        <v>52</v>
      </c>
      <c r="B13" s="68" t="s">
        <v>55</v>
      </c>
      <c r="C13" s="69" t="s">
        <v>1655</v>
      </c>
      <c r="D13" s="70">
        <v>22.86</v>
      </c>
      <c r="E13" s="71">
        <v>0.38</v>
      </c>
      <c r="F13" s="169">
        <v>0.5</v>
      </c>
      <c r="G13" s="2">
        <f t="shared" si="0"/>
        <v>8.6867999999999999</v>
      </c>
      <c r="H13" s="72">
        <f t="shared" si="1"/>
        <v>31.546799999999998</v>
      </c>
      <c r="I13" s="9">
        <f t="shared" si="2"/>
        <v>6.6248279999999991</v>
      </c>
      <c r="J13" s="73">
        <f t="shared" si="3"/>
        <v>38.171627999999998</v>
      </c>
      <c r="L13" s="153">
        <f t="shared" ref="L13" si="4">D13*F13</f>
        <v>11.43</v>
      </c>
      <c r="M13" s="72">
        <f t="shared" ref="M13" si="5">D13+L13</f>
        <v>34.29</v>
      </c>
      <c r="N13" s="9">
        <f t="shared" ref="N13" si="6">M13*0.21</f>
        <v>7.2008999999999999</v>
      </c>
      <c r="O13" s="73">
        <f t="shared" ref="O13" si="7">M13+N13</f>
        <v>41.490899999999996</v>
      </c>
    </row>
    <row r="14" spans="1:15" x14ac:dyDescent="0.3">
      <c r="A14" s="67" t="s">
        <v>54</v>
      </c>
      <c r="B14" s="68" t="s">
        <v>145</v>
      </c>
      <c r="C14" s="69" t="s">
        <v>1655</v>
      </c>
      <c r="D14" s="70">
        <v>22.35</v>
      </c>
      <c r="E14" s="71">
        <v>0.41</v>
      </c>
      <c r="F14" s="169">
        <v>0.5</v>
      </c>
      <c r="G14" s="2">
        <f t="shared" si="0"/>
        <v>9.1635000000000009</v>
      </c>
      <c r="H14" s="72">
        <f t="shared" si="1"/>
        <v>31.513500000000001</v>
      </c>
      <c r="I14" s="9">
        <f t="shared" ref="I14" si="8">H14*0.21</f>
        <v>6.6178349999999995</v>
      </c>
      <c r="J14" s="73">
        <f t="shared" ref="J14" si="9">H14+I14</f>
        <v>38.131335</v>
      </c>
      <c r="L14" s="153">
        <f t="shared" ref="L14" si="10">D14*F14</f>
        <v>11.175000000000001</v>
      </c>
      <c r="M14" s="72">
        <f t="shared" ref="M14" si="11">D14+L14</f>
        <v>33.525000000000006</v>
      </c>
      <c r="N14" s="9">
        <f t="shared" ref="N14" si="12">M14*0.21</f>
        <v>7.0402500000000012</v>
      </c>
      <c r="O14" s="73">
        <f t="shared" ref="O14" si="13">M14+N14</f>
        <v>40.565250000000006</v>
      </c>
    </row>
    <row r="15" spans="1:15" x14ac:dyDescent="0.3">
      <c r="A15" s="67" t="s">
        <v>201</v>
      </c>
      <c r="B15" s="68" t="s">
        <v>202</v>
      </c>
      <c r="C15" s="69" t="s">
        <v>1655</v>
      </c>
      <c r="D15" s="70">
        <v>21.84</v>
      </c>
      <c r="E15" s="71">
        <v>0.44</v>
      </c>
      <c r="F15" s="169">
        <v>0.5</v>
      </c>
      <c r="G15" s="2">
        <f t="shared" ref="G15" si="14">D15*E15</f>
        <v>9.6096000000000004</v>
      </c>
      <c r="H15" s="72">
        <f t="shared" ref="H15" si="15">G15+D15</f>
        <v>31.4496</v>
      </c>
      <c r="I15" s="9">
        <f t="shared" ref="I15" si="16">H15*0.21</f>
        <v>6.6044159999999996</v>
      </c>
      <c r="J15" s="73">
        <f t="shared" ref="J15" si="17">H15+I15</f>
        <v>38.054015999999997</v>
      </c>
      <c r="L15" s="153">
        <f t="shared" ref="L15" si="18">D15*F15</f>
        <v>10.92</v>
      </c>
      <c r="M15" s="72">
        <f t="shared" ref="M15" si="19">D15+L15</f>
        <v>32.76</v>
      </c>
      <c r="N15" s="9">
        <f t="shared" ref="N15" si="20">M15*0.21</f>
        <v>6.879599999999999</v>
      </c>
      <c r="O15" s="73">
        <f t="shared" ref="O15" si="21">M15+N15</f>
        <v>39.639599999999994</v>
      </c>
    </row>
    <row r="16" spans="1:15" x14ac:dyDescent="0.3">
      <c r="A16" s="67" t="s">
        <v>203</v>
      </c>
      <c r="B16" s="68" t="s">
        <v>204</v>
      </c>
      <c r="C16" s="69" t="s">
        <v>1655</v>
      </c>
      <c r="D16" s="70">
        <v>21.33</v>
      </c>
      <c r="E16" s="71">
        <v>0.47</v>
      </c>
      <c r="F16" s="169">
        <v>0.5</v>
      </c>
      <c r="G16" s="2">
        <f t="shared" ref="G16" si="22">D16*E16</f>
        <v>10.025099999999998</v>
      </c>
      <c r="H16" s="72">
        <f t="shared" ref="H16" si="23">G16+D16</f>
        <v>31.355099999999997</v>
      </c>
      <c r="I16" s="9">
        <f t="shared" ref="I16" si="24">H16*0.21</f>
        <v>6.5845709999999986</v>
      </c>
      <c r="J16" s="73">
        <f t="shared" ref="J16" si="25">H16+I16</f>
        <v>37.939670999999997</v>
      </c>
      <c r="L16" s="153">
        <f t="shared" ref="L16" si="26">D16*F16</f>
        <v>10.664999999999999</v>
      </c>
      <c r="M16" s="72">
        <f t="shared" ref="M16" si="27">D16+L16</f>
        <v>31.994999999999997</v>
      </c>
      <c r="N16" s="9">
        <f t="shared" ref="N16" si="28">M16*0.21</f>
        <v>6.7189499999999995</v>
      </c>
      <c r="O16" s="73">
        <f t="shared" ref="O16" si="29">M16+N16</f>
        <v>38.713949999999997</v>
      </c>
    </row>
    <row r="17" spans="1:15" x14ac:dyDescent="0.3">
      <c r="A17" s="67" t="s">
        <v>338</v>
      </c>
      <c r="B17" s="68" t="s">
        <v>339</v>
      </c>
      <c r="C17" s="69" t="s">
        <v>1655</v>
      </c>
      <c r="D17" s="70">
        <v>20.82</v>
      </c>
      <c r="E17" s="71">
        <v>0.5</v>
      </c>
      <c r="F17" s="169">
        <v>0.5</v>
      </c>
      <c r="G17" s="2">
        <f t="shared" ref="G17" si="30">D17*E17</f>
        <v>10.41</v>
      </c>
      <c r="H17" s="72">
        <f t="shared" ref="H17" si="31">G17+D17</f>
        <v>31.23</v>
      </c>
      <c r="I17" s="9">
        <f t="shared" ref="I17" si="32">H17*0.21</f>
        <v>6.5583</v>
      </c>
      <c r="J17" s="73">
        <f t="shared" ref="J17" si="33">H17+I17</f>
        <v>37.7883</v>
      </c>
      <c r="L17" s="153">
        <f t="shared" ref="L17" si="34">D17*F17</f>
        <v>10.41</v>
      </c>
      <c r="M17" s="72">
        <f t="shared" ref="M17" si="35">D17+L17</f>
        <v>31.23</v>
      </c>
      <c r="N17" s="9">
        <f t="shared" ref="N17" si="36">M17*0.21</f>
        <v>6.5583</v>
      </c>
      <c r="O17" s="73">
        <f t="shared" ref="O17" si="37">M17+N17</f>
        <v>37.7883</v>
      </c>
    </row>
    <row r="18" spans="1:15" x14ac:dyDescent="0.3">
      <c r="A18" s="67" t="s">
        <v>619</v>
      </c>
      <c r="B18" s="68" t="s">
        <v>620</v>
      </c>
      <c r="C18" s="69" t="s">
        <v>1655</v>
      </c>
      <c r="D18" s="70">
        <v>20.309999999999999</v>
      </c>
      <c r="E18" s="71">
        <v>0.53</v>
      </c>
      <c r="F18" s="169">
        <v>0.5</v>
      </c>
      <c r="G18" s="2">
        <f t="shared" ref="G18" si="38">D18*E18</f>
        <v>10.7643</v>
      </c>
      <c r="H18" s="72">
        <f t="shared" ref="H18" si="39">G18+D18</f>
        <v>31.074300000000001</v>
      </c>
      <c r="I18" s="9">
        <f t="shared" ref="I18" si="40">H18*0.21</f>
        <v>6.5256030000000003</v>
      </c>
      <c r="J18" s="73">
        <f t="shared" ref="J18" si="41">H18+I18</f>
        <v>37.599902999999998</v>
      </c>
      <c r="L18" s="153">
        <f t="shared" ref="L18" si="42">D18*F18</f>
        <v>10.154999999999999</v>
      </c>
      <c r="M18" s="72">
        <f t="shared" ref="M18" si="43">D18+L18</f>
        <v>30.464999999999996</v>
      </c>
      <c r="N18" s="9">
        <f t="shared" ref="N18" si="44">M18*0.21</f>
        <v>6.3976499999999987</v>
      </c>
      <c r="O18" s="73">
        <f t="shared" ref="O18" si="45">M18+N18</f>
        <v>36.862649999999995</v>
      </c>
    </row>
    <row r="19" spans="1:15" x14ac:dyDescent="0.3">
      <c r="A19" s="67" t="s">
        <v>621</v>
      </c>
      <c r="B19" s="68" t="s">
        <v>622</v>
      </c>
      <c r="C19" s="69" t="s">
        <v>1655</v>
      </c>
      <c r="D19" s="70">
        <v>19.8</v>
      </c>
      <c r="E19" s="71">
        <v>0.56000000000000005</v>
      </c>
      <c r="F19" s="169">
        <v>0.5</v>
      </c>
      <c r="G19" s="2">
        <f t="shared" ref="G19" si="46">D19*E19</f>
        <v>11.088000000000001</v>
      </c>
      <c r="H19" s="72">
        <f t="shared" ref="H19" si="47">G19+D19</f>
        <v>30.888000000000002</v>
      </c>
      <c r="I19" s="9">
        <f t="shared" ref="I19" si="48">H19*0.21</f>
        <v>6.4864800000000002</v>
      </c>
      <c r="J19" s="73">
        <f t="shared" ref="J19" si="49">H19+I19</f>
        <v>37.374480000000005</v>
      </c>
      <c r="L19" s="153">
        <f t="shared" ref="L19" si="50">D19*F19</f>
        <v>9.9</v>
      </c>
      <c r="M19" s="72">
        <f t="shared" ref="M19" si="51">D19+L19</f>
        <v>29.700000000000003</v>
      </c>
      <c r="N19" s="9">
        <f t="shared" ref="N19" si="52">M19*0.21</f>
        <v>6.2370000000000001</v>
      </c>
      <c r="O19" s="73">
        <f t="shared" ref="O19" si="53">M19+N19</f>
        <v>35.937000000000005</v>
      </c>
    </row>
    <row r="20" spans="1:15" x14ac:dyDescent="0.3">
      <c r="A20" s="67" t="s">
        <v>623</v>
      </c>
      <c r="B20" s="68" t="s">
        <v>739</v>
      </c>
      <c r="C20" s="69" t="s">
        <v>1655</v>
      </c>
      <c r="D20" s="70">
        <v>19.29</v>
      </c>
      <c r="E20" s="71">
        <v>0.59</v>
      </c>
      <c r="F20" s="169">
        <v>0.5</v>
      </c>
      <c r="G20" s="2">
        <f t="shared" ref="G20" si="54">D20*E20</f>
        <v>11.381099999999998</v>
      </c>
      <c r="H20" s="72">
        <f t="shared" ref="H20" si="55">G20+D20</f>
        <v>30.671099999999996</v>
      </c>
      <c r="I20" s="9">
        <f t="shared" ref="I20" si="56">H20*0.21</f>
        <v>6.4409309999999991</v>
      </c>
      <c r="J20" s="73">
        <f t="shared" ref="J20" si="57">H20+I20</f>
        <v>37.112030999999995</v>
      </c>
      <c r="L20" s="153">
        <f t="shared" ref="L20" si="58">D20*F20</f>
        <v>9.6449999999999996</v>
      </c>
      <c r="M20" s="72">
        <f t="shared" ref="M20" si="59">D20+L20</f>
        <v>28.934999999999999</v>
      </c>
      <c r="N20" s="9">
        <f t="shared" ref="N20" si="60">M20*0.21</f>
        <v>6.0763499999999997</v>
      </c>
      <c r="O20" s="73">
        <f t="shared" ref="O20" si="61">M20+N20</f>
        <v>35.01135</v>
      </c>
    </row>
    <row r="21" spans="1:15" x14ac:dyDescent="0.3">
      <c r="A21" s="67" t="s">
        <v>625</v>
      </c>
      <c r="B21" s="68" t="s">
        <v>624</v>
      </c>
      <c r="C21" s="69" t="s">
        <v>1655</v>
      </c>
      <c r="D21" s="70">
        <v>18.78</v>
      </c>
      <c r="E21" s="71">
        <v>0.62</v>
      </c>
      <c r="F21" s="169">
        <v>0.5</v>
      </c>
      <c r="G21" s="2">
        <f t="shared" ref="G21" si="62">D21*E21</f>
        <v>11.643600000000001</v>
      </c>
      <c r="H21" s="72">
        <f t="shared" ref="H21" si="63">G21+D21</f>
        <v>30.4236</v>
      </c>
      <c r="I21" s="9">
        <f t="shared" ref="I21" si="64">H21*0.21</f>
        <v>6.3889559999999994</v>
      </c>
      <c r="J21" s="73">
        <f t="shared" ref="J21" si="65">H21+I21</f>
        <v>36.812556000000001</v>
      </c>
      <c r="L21" s="153">
        <f t="shared" ref="L21" si="66">D21*F21</f>
        <v>9.39</v>
      </c>
      <c r="M21" s="72">
        <f t="shared" ref="M21" si="67">D21+L21</f>
        <v>28.17</v>
      </c>
      <c r="N21" s="9">
        <f t="shared" ref="N21" si="68">M21*0.21</f>
        <v>5.9157000000000002</v>
      </c>
      <c r="O21" s="73">
        <f t="shared" ref="O21" si="69">M21+N21</f>
        <v>34.085700000000003</v>
      </c>
    </row>
    <row r="22" spans="1:15" x14ac:dyDescent="0.3">
      <c r="A22" s="67" t="s">
        <v>740</v>
      </c>
      <c r="B22" s="68" t="s">
        <v>626</v>
      </c>
      <c r="C22" s="69" t="s">
        <v>1655</v>
      </c>
      <c r="D22" s="70">
        <v>18.27</v>
      </c>
      <c r="E22" s="71">
        <v>0.65</v>
      </c>
      <c r="F22" s="169">
        <v>0.5</v>
      </c>
      <c r="G22" s="2">
        <f t="shared" ref="G22" si="70">D22*E22</f>
        <v>11.875500000000001</v>
      </c>
      <c r="H22" s="72">
        <f t="shared" ref="H22" si="71">G22+D22</f>
        <v>30.145499999999998</v>
      </c>
      <c r="I22" s="9">
        <f t="shared" ref="I22" si="72">H22*0.21</f>
        <v>6.3305549999999995</v>
      </c>
      <c r="J22" s="73">
        <f t="shared" ref="J22" si="73">H22+I22</f>
        <v>36.476054999999995</v>
      </c>
      <c r="L22" s="153">
        <f t="shared" ref="L22" si="74">D22*F22</f>
        <v>9.1349999999999998</v>
      </c>
      <c r="M22" s="72">
        <f t="shared" ref="M22" si="75">D22+L22</f>
        <v>27.405000000000001</v>
      </c>
      <c r="N22" s="9">
        <f t="shared" ref="N22" si="76">M22*0.21</f>
        <v>5.7550499999999998</v>
      </c>
      <c r="O22" s="73">
        <f t="shared" ref="O22" si="77">M22+N22</f>
        <v>33.160049999999998</v>
      </c>
    </row>
    <row r="23" spans="1:15" x14ac:dyDescent="0.3">
      <c r="A23" s="67" t="s">
        <v>1006</v>
      </c>
      <c r="B23" s="68" t="s">
        <v>1007</v>
      </c>
      <c r="C23" s="69" t="s">
        <v>1655</v>
      </c>
      <c r="D23" s="70">
        <v>17.760000000000002</v>
      </c>
      <c r="E23" s="71">
        <v>0.68</v>
      </c>
      <c r="F23" s="169">
        <v>0.5</v>
      </c>
      <c r="G23" s="2">
        <f t="shared" ref="G23" si="78">D23*E23</f>
        <v>12.076800000000002</v>
      </c>
      <c r="H23" s="72">
        <f t="shared" ref="H23" si="79">G23+D23</f>
        <v>29.836800000000004</v>
      </c>
      <c r="I23" s="9">
        <f t="shared" ref="I23" si="80">H23*0.21</f>
        <v>6.2657280000000002</v>
      </c>
      <c r="J23" s="73">
        <f t="shared" ref="J23" si="81">H23+I23</f>
        <v>36.102528000000007</v>
      </c>
      <c r="L23" s="153">
        <f t="shared" ref="L23" si="82">D23*F23</f>
        <v>8.8800000000000008</v>
      </c>
      <c r="M23" s="72">
        <f t="shared" ref="M23" si="83">D23+L23</f>
        <v>26.64</v>
      </c>
      <c r="N23" s="9">
        <f t="shared" ref="N23" si="84">M23*0.21</f>
        <v>5.5944000000000003</v>
      </c>
      <c r="O23" s="73">
        <f t="shared" ref="O23" si="85">M23+N23</f>
        <v>32.234400000000001</v>
      </c>
    </row>
    <row r="24" spans="1:15" x14ac:dyDescent="0.3">
      <c r="A24" s="67" t="s">
        <v>1167</v>
      </c>
      <c r="B24" s="68" t="s">
        <v>1168</v>
      </c>
      <c r="C24" s="69" t="s">
        <v>1655</v>
      </c>
      <c r="D24" s="70">
        <v>17.25</v>
      </c>
      <c r="E24" s="71">
        <v>0.71</v>
      </c>
      <c r="F24" s="169">
        <v>0.5</v>
      </c>
      <c r="G24" s="2">
        <f t="shared" ref="G24:G25" si="86">D24*E24</f>
        <v>12.247499999999999</v>
      </c>
      <c r="H24" s="72">
        <f t="shared" ref="H24:H25" si="87">G24+D24</f>
        <v>29.497499999999999</v>
      </c>
      <c r="I24" s="9">
        <f t="shared" ref="I24:I25" si="88">H24*0.21</f>
        <v>6.1944749999999997</v>
      </c>
      <c r="J24" s="73">
        <f t="shared" ref="J24:J25" si="89">H24+I24</f>
        <v>35.691974999999999</v>
      </c>
      <c r="L24" s="153">
        <f t="shared" ref="L24:L25" si="90">D24*F24</f>
        <v>8.625</v>
      </c>
      <c r="M24" s="72">
        <f t="shared" ref="M24:M25" si="91">D24+L24</f>
        <v>25.875</v>
      </c>
      <c r="N24" s="9">
        <f t="shared" ref="N24:N25" si="92">M24*0.21</f>
        <v>5.4337499999999999</v>
      </c>
      <c r="O24" s="73">
        <f t="shared" ref="O24:O25" si="93">M24+N24</f>
        <v>31.30875</v>
      </c>
    </row>
    <row r="25" spans="1:15" x14ac:dyDescent="0.3">
      <c r="A25" s="67" t="s">
        <v>1232</v>
      </c>
      <c r="B25" s="68" t="s">
        <v>1279</v>
      </c>
      <c r="C25" s="69" t="s">
        <v>1655</v>
      </c>
      <c r="D25" s="70">
        <v>16.739999999999998</v>
      </c>
      <c r="E25" s="71">
        <v>0.74</v>
      </c>
      <c r="F25" s="169">
        <v>0.5</v>
      </c>
      <c r="G25" s="2">
        <f t="shared" si="86"/>
        <v>12.387599999999999</v>
      </c>
      <c r="H25" s="72">
        <f t="shared" si="87"/>
        <v>29.127599999999997</v>
      </c>
      <c r="I25" s="9">
        <f t="shared" si="88"/>
        <v>6.116795999999999</v>
      </c>
      <c r="J25" s="73">
        <f t="shared" si="89"/>
        <v>35.244395999999995</v>
      </c>
      <c r="L25" s="153">
        <f t="shared" si="90"/>
        <v>8.3699999999999992</v>
      </c>
      <c r="M25" s="72">
        <f t="shared" si="91"/>
        <v>25.11</v>
      </c>
      <c r="N25" s="9">
        <f t="shared" si="92"/>
        <v>5.2730999999999995</v>
      </c>
      <c r="O25" s="73">
        <f t="shared" si="93"/>
        <v>30.383099999999999</v>
      </c>
    </row>
    <row r="26" spans="1:15" x14ac:dyDescent="0.3">
      <c r="A26" s="67" t="s">
        <v>1234</v>
      </c>
      <c r="B26" s="68" t="s">
        <v>1278</v>
      </c>
      <c r="C26" s="69" t="s">
        <v>1655</v>
      </c>
      <c r="D26" s="70">
        <v>16.23</v>
      </c>
      <c r="E26" s="71">
        <v>0.77</v>
      </c>
      <c r="F26" s="169">
        <v>0.5</v>
      </c>
      <c r="G26" s="2">
        <f t="shared" ref="G26" si="94">D26*E26</f>
        <v>12.497100000000001</v>
      </c>
      <c r="H26" s="72">
        <f t="shared" ref="H26" si="95">G26+D26</f>
        <v>28.7271</v>
      </c>
      <c r="I26" s="9">
        <f t="shared" ref="I26" si="96">H26*0.21</f>
        <v>6.0326909999999998</v>
      </c>
      <c r="J26" s="73">
        <f t="shared" ref="J26" si="97">H26+I26</f>
        <v>34.759791</v>
      </c>
      <c r="L26" s="153">
        <f t="shared" ref="L26" si="98">D26*F26</f>
        <v>8.1150000000000002</v>
      </c>
      <c r="M26" s="72">
        <f t="shared" ref="M26" si="99">D26+L26</f>
        <v>24.344999999999999</v>
      </c>
      <c r="N26" s="9">
        <f t="shared" ref="N26" si="100">M26*0.21</f>
        <v>5.1124499999999999</v>
      </c>
      <c r="O26" s="73">
        <f t="shared" ref="O26" si="101">M26+N26</f>
        <v>29.457449999999998</v>
      </c>
    </row>
    <row r="27" spans="1:15" x14ac:dyDescent="0.3">
      <c r="A27" s="67" t="s">
        <v>1236</v>
      </c>
      <c r="B27" s="68" t="s">
        <v>1233</v>
      </c>
      <c r="C27" s="69" t="s">
        <v>1655</v>
      </c>
      <c r="D27" s="70">
        <v>15.72</v>
      </c>
      <c r="E27" s="71">
        <v>0.8</v>
      </c>
      <c r="F27" s="169">
        <v>0.5</v>
      </c>
      <c r="G27" s="2">
        <f t="shared" ref="G27" si="102">D27*E27</f>
        <v>12.576000000000001</v>
      </c>
      <c r="H27" s="72">
        <f t="shared" ref="H27" si="103">G27+D27</f>
        <v>28.295999999999999</v>
      </c>
      <c r="I27" s="9">
        <f t="shared" ref="I27" si="104">H27*0.21</f>
        <v>5.9421599999999994</v>
      </c>
      <c r="J27" s="73">
        <f t="shared" ref="J27" si="105">H27+I27</f>
        <v>34.238160000000001</v>
      </c>
      <c r="L27" s="153">
        <f t="shared" ref="L27" si="106">D27*F27</f>
        <v>7.86</v>
      </c>
      <c r="M27" s="72">
        <f t="shared" ref="M27" si="107">D27+L27</f>
        <v>23.580000000000002</v>
      </c>
      <c r="N27" s="9">
        <f t="shared" ref="N27" si="108">M27*0.21</f>
        <v>4.9518000000000004</v>
      </c>
      <c r="O27" s="73">
        <f t="shared" ref="O27" si="109">M27+N27</f>
        <v>28.531800000000004</v>
      </c>
    </row>
    <row r="28" spans="1:15" x14ac:dyDescent="0.3">
      <c r="A28" s="67" t="s">
        <v>1250</v>
      </c>
      <c r="B28" s="68" t="s">
        <v>1235</v>
      </c>
      <c r="C28" s="69" t="s">
        <v>1655</v>
      </c>
      <c r="D28" s="70">
        <v>15.21</v>
      </c>
      <c r="E28" s="71">
        <v>0.83</v>
      </c>
      <c r="F28" s="169">
        <v>0.5</v>
      </c>
      <c r="G28" s="2">
        <f t="shared" ref="G28" si="110">D28*E28</f>
        <v>12.6243</v>
      </c>
      <c r="H28" s="72">
        <f t="shared" ref="H28" si="111">G28+D28</f>
        <v>27.834299999999999</v>
      </c>
      <c r="I28" s="9">
        <f t="shared" ref="I28" si="112">H28*0.21</f>
        <v>5.8452029999999997</v>
      </c>
      <c r="J28" s="73">
        <f t="shared" ref="J28" si="113">H28+I28</f>
        <v>33.679502999999997</v>
      </c>
      <c r="L28" s="153">
        <f t="shared" ref="L28" si="114">D28*F28</f>
        <v>7.6050000000000004</v>
      </c>
      <c r="M28" s="72">
        <f t="shared" ref="M28" si="115">D28+L28</f>
        <v>22.815000000000001</v>
      </c>
      <c r="N28" s="9">
        <f t="shared" ref="N28" si="116">M28*0.21</f>
        <v>4.79115</v>
      </c>
      <c r="O28" s="73">
        <f t="shared" ref="O28" si="117">M28+N28</f>
        <v>27.60615</v>
      </c>
    </row>
    <row r="29" spans="1:15" x14ac:dyDescent="0.3">
      <c r="A29" s="67" t="s">
        <v>1280</v>
      </c>
      <c r="B29" s="68" t="s">
        <v>1237</v>
      </c>
      <c r="C29" s="69" t="s">
        <v>1655</v>
      </c>
      <c r="D29" s="70">
        <v>14.7</v>
      </c>
      <c r="E29" s="71">
        <v>0.86</v>
      </c>
      <c r="F29" s="169">
        <v>0.5</v>
      </c>
      <c r="G29" s="2">
        <f t="shared" ref="G29" si="118">D29*E29</f>
        <v>12.641999999999999</v>
      </c>
      <c r="H29" s="72">
        <f t="shared" ref="H29" si="119">G29+D29</f>
        <v>27.341999999999999</v>
      </c>
      <c r="I29" s="9">
        <f t="shared" ref="I29" si="120">H29*0.21</f>
        <v>5.7418199999999997</v>
      </c>
      <c r="J29" s="73">
        <f t="shared" ref="J29" si="121">H29+I29</f>
        <v>33.083819999999996</v>
      </c>
      <c r="L29" s="153">
        <f t="shared" ref="L29" si="122">D29*F29</f>
        <v>7.35</v>
      </c>
      <c r="M29" s="72">
        <f t="shared" ref="M29" si="123">D29+L29</f>
        <v>22.049999999999997</v>
      </c>
      <c r="N29" s="9">
        <f t="shared" ref="N29" si="124">M29*0.21</f>
        <v>4.6304999999999996</v>
      </c>
      <c r="O29" s="73">
        <f t="shared" ref="O29" si="125">M29+N29</f>
        <v>26.680499999999995</v>
      </c>
    </row>
    <row r="30" spans="1:15" x14ac:dyDescent="0.3">
      <c r="A30" s="67" t="s">
        <v>1281</v>
      </c>
      <c r="B30" s="68" t="s">
        <v>1251</v>
      </c>
      <c r="C30" s="69" t="s">
        <v>1655</v>
      </c>
      <c r="D30" s="70">
        <v>14.19</v>
      </c>
      <c r="E30" s="71">
        <v>0.89</v>
      </c>
      <c r="F30" s="169">
        <v>0.5</v>
      </c>
      <c r="G30" s="2">
        <f t="shared" ref="G30" si="126">D30*E30</f>
        <v>12.629099999999999</v>
      </c>
      <c r="H30" s="72">
        <f t="shared" ref="H30" si="127">G30+D30</f>
        <v>26.819099999999999</v>
      </c>
      <c r="I30" s="9">
        <f t="shared" ref="I30" si="128">H30*0.21</f>
        <v>5.6320109999999994</v>
      </c>
      <c r="J30" s="73">
        <f t="shared" ref="J30" si="129">H30+I30</f>
        <v>32.451110999999997</v>
      </c>
      <c r="L30" s="153">
        <f t="shared" ref="L30" si="130">D30*F30</f>
        <v>7.0949999999999998</v>
      </c>
      <c r="M30" s="72">
        <f t="shared" ref="M30" si="131">D30+L30</f>
        <v>21.285</v>
      </c>
      <c r="N30" s="9">
        <f t="shared" ref="N30" si="132">M30*0.21</f>
        <v>4.4698500000000001</v>
      </c>
      <c r="O30" s="73">
        <f t="shared" ref="O30" si="133">M30+N30</f>
        <v>25.754850000000001</v>
      </c>
    </row>
    <row r="31" spans="1:15" x14ac:dyDescent="0.3">
      <c r="A31" s="67" t="s">
        <v>1316</v>
      </c>
      <c r="B31" s="68" t="s">
        <v>1317</v>
      </c>
      <c r="C31" s="69" t="s">
        <v>1655</v>
      </c>
      <c r="D31" s="70">
        <v>13.68</v>
      </c>
      <c r="E31" s="71">
        <v>0.92000000000000104</v>
      </c>
      <c r="F31" s="169">
        <v>0.5</v>
      </c>
      <c r="G31" s="2">
        <f t="shared" ref="G31" si="134">D31*E31</f>
        <v>12.585600000000014</v>
      </c>
      <c r="H31" s="72">
        <f t="shared" ref="H31" si="135">G31+D31</f>
        <v>26.265600000000013</v>
      </c>
      <c r="I31" s="9">
        <f t="shared" ref="I31" si="136">H31*0.21</f>
        <v>5.5157760000000025</v>
      </c>
      <c r="J31" s="73">
        <f t="shared" ref="J31" si="137">H31+I31</f>
        <v>31.781376000000016</v>
      </c>
      <c r="L31" s="153">
        <f t="shared" ref="L31" si="138">D31*F31</f>
        <v>6.84</v>
      </c>
      <c r="M31" s="72">
        <f t="shared" ref="M31" si="139">D31+L31</f>
        <v>20.52</v>
      </c>
      <c r="N31" s="9">
        <f t="shared" ref="N31" si="140">M31*0.21</f>
        <v>4.3091999999999997</v>
      </c>
      <c r="O31" s="73">
        <f t="shared" ref="O31" si="141">M31+N31</f>
        <v>24.8292</v>
      </c>
    </row>
    <row r="32" spans="1:15" x14ac:dyDescent="0.3">
      <c r="A32" s="67" t="s">
        <v>1318</v>
      </c>
      <c r="B32" s="68" t="s">
        <v>1319</v>
      </c>
      <c r="C32" s="69" t="s">
        <v>1655</v>
      </c>
      <c r="D32" s="70">
        <v>13.17</v>
      </c>
      <c r="E32" s="71">
        <v>0.95000000000000095</v>
      </c>
      <c r="F32" s="169">
        <v>0.5</v>
      </c>
      <c r="G32" s="2">
        <f t="shared" ref="G32" si="142">D32*E32</f>
        <v>12.511500000000012</v>
      </c>
      <c r="H32" s="72">
        <f t="shared" ref="H32" si="143">G32+D32</f>
        <v>25.681500000000014</v>
      </c>
      <c r="I32" s="9">
        <f t="shared" ref="I32" si="144">H32*0.21</f>
        <v>5.3931150000000025</v>
      </c>
      <c r="J32" s="73">
        <f t="shared" ref="J32" si="145">H32+I32</f>
        <v>31.074615000000016</v>
      </c>
      <c r="L32" s="153">
        <f t="shared" ref="L32" si="146">D32*F32</f>
        <v>6.585</v>
      </c>
      <c r="M32" s="72">
        <f t="shared" ref="M32" si="147">D32+L32</f>
        <v>19.754999999999999</v>
      </c>
      <c r="N32" s="9">
        <f t="shared" ref="N32" si="148">M32*0.21</f>
        <v>4.1485499999999993</v>
      </c>
      <c r="O32" s="73">
        <f t="shared" ref="O32" si="149">M32+N32</f>
        <v>23.903549999999999</v>
      </c>
    </row>
    <row r="33" spans="1:15" x14ac:dyDescent="0.3">
      <c r="A33" s="67" t="s">
        <v>1458</v>
      </c>
      <c r="B33" s="68" t="s">
        <v>1618</v>
      </c>
      <c r="C33" s="69" t="s">
        <v>1655</v>
      </c>
      <c r="D33" s="70">
        <v>12.66</v>
      </c>
      <c r="E33" s="71">
        <v>0.98000000000000098</v>
      </c>
      <c r="F33" s="169">
        <v>0.5</v>
      </c>
      <c r="G33" s="2">
        <f t="shared" ref="G33" si="150">D33*E33</f>
        <v>12.406800000000013</v>
      </c>
      <c r="H33" s="72">
        <f t="shared" ref="H33" si="151">G33+D33</f>
        <v>25.066800000000015</v>
      </c>
      <c r="I33" s="9">
        <f t="shared" ref="I33" si="152">H33*0.21</f>
        <v>5.2640280000000033</v>
      </c>
      <c r="J33" s="73">
        <f t="shared" ref="J33" si="153">H33+I33</f>
        <v>30.330828000000018</v>
      </c>
      <c r="L33" s="153">
        <f t="shared" ref="L33" si="154">D33*F33</f>
        <v>6.33</v>
      </c>
      <c r="M33" s="72">
        <f t="shared" ref="M33" si="155">D33+L33</f>
        <v>18.990000000000002</v>
      </c>
      <c r="N33" s="9">
        <f t="shared" ref="N33" si="156">M33*0.21</f>
        <v>3.9879000000000002</v>
      </c>
      <c r="O33" s="73">
        <f t="shared" ref="O33" si="157">M33+N33</f>
        <v>22.977900000000002</v>
      </c>
    </row>
    <row r="34" spans="1:15" x14ac:dyDescent="0.3">
      <c r="A34" s="67" t="s">
        <v>1459</v>
      </c>
      <c r="B34" s="68" t="s">
        <v>1619</v>
      </c>
      <c r="C34" s="69" t="s">
        <v>1655</v>
      </c>
      <c r="D34" s="70">
        <v>12.15</v>
      </c>
      <c r="E34" s="71">
        <v>1.01</v>
      </c>
      <c r="F34" s="169">
        <v>0.5</v>
      </c>
      <c r="G34" s="2">
        <f t="shared" ref="G34" si="158">D34*E34</f>
        <v>12.2715</v>
      </c>
      <c r="H34" s="72">
        <f t="shared" ref="H34" si="159">G34+D34</f>
        <v>24.421500000000002</v>
      </c>
      <c r="I34" s="9">
        <f t="shared" ref="I34" si="160">H34*0.21</f>
        <v>5.1285150000000002</v>
      </c>
      <c r="J34" s="73">
        <f t="shared" ref="J34" si="161">H34+I34</f>
        <v>29.550015000000002</v>
      </c>
      <c r="L34" s="153">
        <f t="shared" ref="L34" si="162">D34*F34</f>
        <v>6.0750000000000002</v>
      </c>
      <c r="M34" s="72">
        <f t="shared" ref="M34" si="163">D34+L34</f>
        <v>18.225000000000001</v>
      </c>
      <c r="N34" s="9">
        <f t="shared" ref="N34" si="164">M34*0.21</f>
        <v>3.8272500000000003</v>
      </c>
      <c r="O34" s="73">
        <f t="shared" ref="O34" si="165">M34+N34</f>
        <v>22.052250000000001</v>
      </c>
    </row>
    <row r="35" spans="1:15" x14ac:dyDescent="0.3">
      <c r="A35" s="67" t="s">
        <v>1460</v>
      </c>
      <c r="B35" s="68" t="s">
        <v>1620</v>
      </c>
      <c r="C35" s="69" t="s">
        <v>1655</v>
      </c>
      <c r="D35" s="70">
        <v>11.64</v>
      </c>
      <c r="E35" s="71">
        <v>1.04</v>
      </c>
      <c r="F35" s="169">
        <v>0.5</v>
      </c>
      <c r="G35" s="2">
        <f t="shared" ref="G35" si="166">D35*E35</f>
        <v>12.105600000000001</v>
      </c>
      <c r="H35" s="72">
        <f t="shared" ref="H35" si="167">G35+D35</f>
        <v>23.745600000000003</v>
      </c>
      <c r="I35" s="9">
        <f t="shared" ref="I35" si="168">H35*0.21</f>
        <v>4.9865760000000003</v>
      </c>
      <c r="J35" s="73">
        <f t="shared" ref="J35" si="169">H35+I35</f>
        <v>28.732176000000003</v>
      </c>
      <c r="L35" s="153">
        <f t="shared" ref="L35" si="170">D35*F35</f>
        <v>5.82</v>
      </c>
      <c r="M35" s="72">
        <f t="shared" ref="M35" si="171">D35+L35</f>
        <v>17.46</v>
      </c>
      <c r="N35" s="9">
        <f t="shared" ref="N35" si="172">M35*0.21</f>
        <v>3.6665999999999999</v>
      </c>
      <c r="O35" s="73">
        <f t="shared" ref="O35" si="173">M35+N35</f>
        <v>21.1266</v>
      </c>
    </row>
    <row r="36" spans="1:15" x14ac:dyDescent="0.3">
      <c r="A36" s="67" t="s">
        <v>1635</v>
      </c>
      <c r="B36" s="68" t="s">
        <v>1636</v>
      </c>
      <c r="C36" s="69" t="s">
        <v>1655</v>
      </c>
      <c r="D36" s="70">
        <v>11.13</v>
      </c>
      <c r="E36" s="71">
        <v>1.07</v>
      </c>
      <c r="F36" s="169">
        <v>0.5</v>
      </c>
      <c r="G36" s="2">
        <f t="shared" ref="G36" si="174">D36*E36</f>
        <v>11.909100000000002</v>
      </c>
      <c r="H36" s="72">
        <f t="shared" ref="H36" si="175">G36+D36</f>
        <v>23.039100000000005</v>
      </c>
      <c r="I36" s="9">
        <f t="shared" ref="I36" si="176">H36*0.21</f>
        <v>4.8382110000000011</v>
      </c>
      <c r="J36" s="73">
        <f t="shared" ref="J36" si="177">H36+I36</f>
        <v>27.877311000000006</v>
      </c>
      <c r="L36" s="153">
        <f t="shared" ref="L36" si="178">D36*F36</f>
        <v>5.5650000000000004</v>
      </c>
      <c r="M36" s="72">
        <f t="shared" ref="M36" si="179">D36+L36</f>
        <v>16.695</v>
      </c>
      <c r="N36" s="9">
        <f t="shared" ref="N36" si="180">M36*0.21</f>
        <v>3.5059499999999999</v>
      </c>
      <c r="O36" s="73">
        <f t="shared" ref="O36" si="181">M36+N36</f>
        <v>20.200949999999999</v>
      </c>
    </row>
    <row r="37" spans="1:15" x14ac:dyDescent="0.3">
      <c r="A37" s="67" t="s">
        <v>1637</v>
      </c>
      <c r="B37" s="68" t="s">
        <v>1638</v>
      </c>
      <c r="C37" s="69" t="s">
        <v>1655</v>
      </c>
      <c r="D37" s="70">
        <v>10.62</v>
      </c>
      <c r="E37" s="71">
        <v>1.1000000000000001</v>
      </c>
      <c r="F37" s="169">
        <v>0.5</v>
      </c>
      <c r="G37" s="2">
        <f t="shared" ref="G37" si="182">D37*E37</f>
        <v>11.682</v>
      </c>
      <c r="H37" s="72">
        <f t="shared" ref="H37" si="183">G37+D37</f>
        <v>22.302</v>
      </c>
      <c r="I37" s="9">
        <f t="shared" ref="I37" si="184">H37*0.21</f>
        <v>4.6834199999999999</v>
      </c>
      <c r="J37" s="73">
        <f t="shared" ref="J37" si="185">H37+I37</f>
        <v>26.985419999999998</v>
      </c>
      <c r="L37" s="153">
        <f t="shared" ref="L37" si="186">D37*F37</f>
        <v>5.31</v>
      </c>
      <c r="M37" s="72">
        <f t="shared" ref="M37" si="187">D37+L37</f>
        <v>15.93</v>
      </c>
      <c r="N37" s="9">
        <f t="shared" ref="N37" si="188">M37*0.21</f>
        <v>3.3452999999999999</v>
      </c>
      <c r="O37" s="73">
        <f t="shared" ref="O37" si="189">M37+N37</f>
        <v>19.275300000000001</v>
      </c>
    </row>
    <row r="38" spans="1:15" x14ac:dyDescent="0.3">
      <c r="A38" s="67" t="s">
        <v>1639</v>
      </c>
      <c r="B38" s="68" t="s">
        <v>1640</v>
      </c>
      <c r="C38" s="69" t="s">
        <v>1655</v>
      </c>
      <c r="D38" s="70">
        <v>10.11</v>
      </c>
      <c r="E38" s="71">
        <v>1.1299999999999999</v>
      </c>
      <c r="F38" s="169">
        <v>0.5</v>
      </c>
      <c r="G38" s="2">
        <f t="shared" ref="G38" si="190">D38*E38</f>
        <v>11.424299999999999</v>
      </c>
      <c r="H38" s="72">
        <f t="shared" ref="H38" si="191">G38+D38</f>
        <v>21.534299999999998</v>
      </c>
      <c r="I38" s="9">
        <f t="shared" ref="I38" si="192">H38*0.21</f>
        <v>4.5222029999999993</v>
      </c>
      <c r="J38" s="73">
        <f t="shared" ref="J38" si="193">H38+I38</f>
        <v>26.056502999999999</v>
      </c>
      <c r="L38" s="153">
        <f t="shared" ref="L38" si="194">D38*F38</f>
        <v>5.0549999999999997</v>
      </c>
      <c r="M38" s="72">
        <f t="shared" ref="M38" si="195">D38+L38</f>
        <v>15.164999999999999</v>
      </c>
      <c r="N38" s="9">
        <f t="shared" ref="N38" si="196">M38*0.21</f>
        <v>3.1846499999999995</v>
      </c>
      <c r="O38" s="73">
        <f t="shared" ref="O38" si="197">M38+N38</f>
        <v>18.349649999999997</v>
      </c>
    </row>
    <row r="39" spans="1:15" x14ac:dyDescent="0.3">
      <c r="A39" s="67" t="s">
        <v>34</v>
      </c>
      <c r="B39" s="68" t="s">
        <v>35</v>
      </c>
      <c r="C39" s="69" t="s">
        <v>1655</v>
      </c>
      <c r="D39" s="70">
        <v>9.6</v>
      </c>
      <c r="E39" s="71">
        <v>1.1599999999999999</v>
      </c>
      <c r="F39" s="169">
        <v>0.5</v>
      </c>
      <c r="G39" s="2">
        <f t="shared" ref="G39:G53" si="198">D39*E39</f>
        <v>11.135999999999999</v>
      </c>
      <c r="H39" s="72">
        <f t="shared" ref="H39:H53" si="199">G39+D39</f>
        <v>20.735999999999997</v>
      </c>
      <c r="I39" s="9">
        <f t="shared" ref="I39:I53" si="200">H39*0.21</f>
        <v>4.3545599999999993</v>
      </c>
      <c r="J39" s="73">
        <f t="shared" ref="J39:J53" si="201">H39+I39</f>
        <v>25.090559999999996</v>
      </c>
      <c r="L39" s="153">
        <f>D39*F39</f>
        <v>4.8</v>
      </c>
      <c r="M39" s="72">
        <f>D39+L39</f>
        <v>14.399999999999999</v>
      </c>
      <c r="N39" s="9">
        <f t="shared" ref="N39:N42" si="202">M39*0.21</f>
        <v>3.0239999999999996</v>
      </c>
      <c r="O39" s="73">
        <f t="shared" ref="O39:O42" si="203">M39+N39</f>
        <v>17.423999999999999</v>
      </c>
    </row>
    <row r="40" spans="1:15" x14ac:dyDescent="0.3">
      <c r="A40" s="67" t="s">
        <v>61</v>
      </c>
      <c r="B40" s="68" t="s">
        <v>64</v>
      </c>
      <c r="C40" s="69" t="s">
        <v>1655</v>
      </c>
      <c r="D40" s="70">
        <v>9.09</v>
      </c>
      <c r="E40" s="71">
        <v>1.19</v>
      </c>
      <c r="F40" s="169">
        <v>0.5</v>
      </c>
      <c r="G40" s="2">
        <f t="shared" si="198"/>
        <v>10.8171</v>
      </c>
      <c r="H40" s="72">
        <f t="shared" si="199"/>
        <v>19.9071</v>
      </c>
      <c r="I40" s="9">
        <f t="shared" si="200"/>
        <v>4.180491</v>
      </c>
      <c r="J40" s="73">
        <f t="shared" si="201"/>
        <v>24.087591</v>
      </c>
      <c r="L40" s="153">
        <f>D41*F41</f>
        <v>4.29</v>
      </c>
      <c r="M40" s="72">
        <f>D41+L40</f>
        <v>12.870000000000001</v>
      </c>
      <c r="N40" s="9">
        <f t="shared" si="202"/>
        <v>2.7027000000000001</v>
      </c>
      <c r="O40" s="73">
        <f t="shared" si="203"/>
        <v>15.572700000000001</v>
      </c>
    </row>
    <row r="41" spans="1:15" x14ac:dyDescent="0.3">
      <c r="A41" s="67" t="s">
        <v>62</v>
      </c>
      <c r="B41" s="68" t="s">
        <v>63</v>
      </c>
      <c r="C41" s="69" t="s">
        <v>1655</v>
      </c>
      <c r="D41" s="70">
        <v>8.58</v>
      </c>
      <c r="E41" s="71">
        <v>1.22</v>
      </c>
      <c r="F41" s="169">
        <v>0.5</v>
      </c>
      <c r="G41" s="2">
        <f t="shared" si="198"/>
        <v>10.467599999999999</v>
      </c>
      <c r="H41" s="72">
        <f t="shared" si="199"/>
        <v>19.047599999999999</v>
      </c>
      <c r="I41" s="9">
        <f t="shared" si="200"/>
        <v>3.9999959999999999</v>
      </c>
      <c r="J41" s="73">
        <f t="shared" si="201"/>
        <v>23.047595999999999</v>
      </c>
      <c r="L41" s="153">
        <f>D41*F41</f>
        <v>4.29</v>
      </c>
      <c r="M41" s="72">
        <f>D57+L41</f>
        <v>4.29</v>
      </c>
      <c r="N41" s="9">
        <f t="shared" si="202"/>
        <v>0.90089999999999992</v>
      </c>
      <c r="O41" s="73">
        <f t="shared" si="203"/>
        <v>5.1909000000000001</v>
      </c>
    </row>
    <row r="42" spans="1:15" x14ac:dyDescent="0.3">
      <c r="A42" s="67" t="s">
        <v>1008</v>
      </c>
      <c r="B42" s="68" t="s">
        <v>1009</v>
      </c>
      <c r="C42" s="69" t="s">
        <v>1655</v>
      </c>
      <c r="D42" s="70">
        <v>8.07</v>
      </c>
      <c r="E42" s="71">
        <v>1.25</v>
      </c>
      <c r="F42" s="169">
        <v>0.5</v>
      </c>
      <c r="G42" s="2">
        <f t="shared" si="198"/>
        <v>10.0875</v>
      </c>
      <c r="H42" s="72">
        <f t="shared" si="199"/>
        <v>18.157499999999999</v>
      </c>
      <c r="I42" s="9">
        <f t="shared" si="200"/>
        <v>3.8130749999999995</v>
      </c>
      <c r="J42" s="73">
        <f t="shared" si="201"/>
        <v>21.970574999999997</v>
      </c>
      <c r="L42" s="153">
        <f t="shared" ref="L42:L49" si="204">D42*F42</f>
        <v>4.0350000000000001</v>
      </c>
      <c r="M42" s="72">
        <f t="shared" ref="M42:M49" si="205">D42+L42</f>
        <v>12.105</v>
      </c>
      <c r="N42" s="9">
        <f t="shared" si="202"/>
        <v>2.5420500000000001</v>
      </c>
      <c r="O42" s="73">
        <f t="shared" si="203"/>
        <v>14.64705</v>
      </c>
    </row>
    <row r="43" spans="1:15" x14ac:dyDescent="0.3">
      <c r="A43" s="67" t="s">
        <v>1173</v>
      </c>
      <c r="B43" s="68" t="s">
        <v>1320</v>
      </c>
      <c r="C43" s="69" t="s">
        <v>1655</v>
      </c>
      <c r="D43" s="70">
        <v>7.56</v>
      </c>
      <c r="E43" s="71">
        <v>1.28</v>
      </c>
      <c r="F43" s="169">
        <v>0.5</v>
      </c>
      <c r="G43" s="2">
        <f t="shared" ref="G43" si="206">D43*E43</f>
        <v>9.6768000000000001</v>
      </c>
      <c r="H43" s="72">
        <f t="shared" ref="H43" si="207">G43+D43</f>
        <v>17.236799999999999</v>
      </c>
      <c r="I43" s="9">
        <f t="shared" ref="I43" si="208">H43*0.21</f>
        <v>3.6197279999999994</v>
      </c>
      <c r="J43" s="73">
        <f t="shared" ref="J43" si="209">H43+I43</f>
        <v>20.856527999999997</v>
      </c>
      <c r="L43" s="153">
        <f t="shared" ref="L43" si="210">D43*F43</f>
        <v>3.78</v>
      </c>
      <c r="M43" s="72">
        <f t="shared" ref="M43" si="211">D43+L43</f>
        <v>11.34</v>
      </c>
      <c r="N43" s="9">
        <f t="shared" ref="N43" si="212">M43*0.21</f>
        <v>2.3813999999999997</v>
      </c>
      <c r="O43" s="73">
        <f t="shared" ref="O43" si="213">M43+N43</f>
        <v>13.721399999999999</v>
      </c>
    </row>
    <row r="44" spans="1:15" x14ac:dyDescent="0.3">
      <c r="A44" s="67" t="s">
        <v>1175</v>
      </c>
      <c r="B44" s="68" t="s">
        <v>1614</v>
      </c>
      <c r="C44" s="69" t="s">
        <v>1655</v>
      </c>
      <c r="D44" s="70">
        <v>7.05</v>
      </c>
      <c r="E44" s="71">
        <v>1.31</v>
      </c>
      <c r="F44" s="169">
        <v>0.5</v>
      </c>
      <c r="G44" s="2">
        <f t="shared" ref="G44" si="214">D44*E44</f>
        <v>9.2355</v>
      </c>
      <c r="H44" s="72">
        <f t="shared" ref="H44" si="215">G44+D44</f>
        <v>16.285499999999999</v>
      </c>
      <c r="I44" s="9">
        <f t="shared" ref="I44" si="216">H44*0.21</f>
        <v>3.4199549999999999</v>
      </c>
      <c r="J44" s="73">
        <f t="shared" ref="J44" si="217">H44+I44</f>
        <v>19.705455000000001</v>
      </c>
      <c r="L44" s="153">
        <f t="shared" ref="L44" si="218">D44*F44</f>
        <v>3.5249999999999999</v>
      </c>
      <c r="M44" s="72">
        <f t="shared" ref="M44" si="219">D44+L44</f>
        <v>10.574999999999999</v>
      </c>
      <c r="N44" s="9">
        <f t="shared" ref="N44" si="220">M44*0.21</f>
        <v>2.2207499999999998</v>
      </c>
      <c r="O44" s="73">
        <f t="shared" ref="O44" si="221">M44+N44</f>
        <v>12.795749999999998</v>
      </c>
    </row>
    <row r="45" spans="1:15" x14ac:dyDescent="0.3">
      <c r="A45" s="67" t="s">
        <v>1177</v>
      </c>
      <c r="B45" s="68" t="s">
        <v>1174</v>
      </c>
      <c r="C45" s="69" t="s">
        <v>1655</v>
      </c>
      <c r="D45" s="70">
        <v>6.54</v>
      </c>
      <c r="E45" s="71">
        <v>1.34</v>
      </c>
      <c r="F45" s="169">
        <v>0.5</v>
      </c>
      <c r="G45" s="2">
        <f t="shared" ref="G45" si="222">D45*E45</f>
        <v>8.7636000000000003</v>
      </c>
      <c r="H45" s="72">
        <f t="shared" ref="H45" si="223">G45+D45</f>
        <v>15.303599999999999</v>
      </c>
      <c r="I45" s="9">
        <f t="shared" ref="I45" si="224">H45*0.21</f>
        <v>3.2137559999999996</v>
      </c>
      <c r="J45" s="73">
        <f t="shared" ref="J45" si="225">H45+I45</f>
        <v>18.517355999999999</v>
      </c>
      <c r="L45" s="153">
        <f t="shared" si="204"/>
        <v>3.27</v>
      </c>
      <c r="M45" s="72">
        <f t="shared" si="205"/>
        <v>9.81</v>
      </c>
      <c r="N45" s="9">
        <f t="shared" ref="N45" si="226">M45*0.21</f>
        <v>2.0600999999999998</v>
      </c>
      <c r="O45" s="73">
        <f t="shared" ref="O45" si="227">M45+N45</f>
        <v>11.870100000000001</v>
      </c>
    </row>
    <row r="46" spans="1:15" x14ac:dyDescent="0.3">
      <c r="A46" s="67" t="s">
        <v>1179</v>
      </c>
      <c r="B46" s="68" t="s">
        <v>1176</v>
      </c>
      <c r="C46" s="69" t="s">
        <v>1655</v>
      </c>
      <c r="D46" s="70">
        <v>6.03</v>
      </c>
      <c r="E46" s="71">
        <v>1.37</v>
      </c>
      <c r="F46" s="169">
        <v>0.5</v>
      </c>
      <c r="G46" s="2">
        <f t="shared" ref="G46" si="228">D46*E46</f>
        <v>8.2611000000000008</v>
      </c>
      <c r="H46" s="72">
        <f t="shared" ref="H46" si="229">G46+D46</f>
        <v>14.2911</v>
      </c>
      <c r="I46" s="9">
        <f t="shared" ref="I46" si="230">H46*0.21</f>
        <v>3.001131</v>
      </c>
      <c r="J46" s="73">
        <f t="shared" ref="J46" si="231">H46+I46</f>
        <v>17.292231000000001</v>
      </c>
      <c r="L46" s="153">
        <f t="shared" si="204"/>
        <v>3.0150000000000001</v>
      </c>
      <c r="M46" s="72">
        <f t="shared" si="205"/>
        <v>9.0449999999999999</v>
      </c>
      <c r="N46" s="9">
        <f t="shared" ref="N46" si="232">M46*0.21</f>
        <v>1.8994499999999999</v>
      </c>
      <c r="O46" s="73">
        <f t="shared" ref="O46" si="233">M46+N46</f>
        <v>10.94445</v>
      </c>
    </row>
    <row r="47" spans="1:15" x14ac:dyDescent="0.3">
      <c r="A47" s="67" t="s">
        <v>1181</v>
      </c>
      <c r="B47" s="68" t="s">
        <v>1178</v>
      </c>
      <c r="C47" s="69" t="s">
        <v>1655</v>
      </c>
      <c r="D47" s="70">
        <v>5.52</v>
      </c>
      <c r="E47" s="71">
        <v>1.4</v>
      </c>
      <c r="F47" s="169">
        <v>0.5</v>
      </c>
      <c r="G47" s="2">
        <f t="shared" ref="G47" si="234">D47*E47</f>
        <v>7.7279999999999989</v>
      </c>
      <c r="H47" s="72">
        <f t="shared" ref="H47" si="235">G47+D47</f>
        <v>13.247999999999998</v>
      </c>
      <c r="I47" s="9">
        <f t="shared" ref="I47" si="236">H47*0.21</f>
        <v>2.7820799999999992</v>
      </c>
      <c r="J47" s="73">
        <f t="shared" ref="J47" si="237">H47+I47</f>
        <v>16.030079999999998</v>
      </c>
      <c r="L47" s="153">
        <f t="shared" si="204"/>
        <v>2.76</v>
      </c>
      <c r="M47" s="72">
        <f t="shared" si="205"/>
        <v>8.2799999999999994</v>
      </c>
      <c r="N47" s="9">
        <f t="shared" ref="N47" si="238">M47*0.21</f>
        <v>1.7387999999999999</v>
      </c>
      <c r="O47" s="73">
        <f t="shared" ref="O47" si="239">M47+N47</f>
        <v>10.018799999999999</v>
      </c>
    </row>
    <row r="48" spans="1:15" x14ac:dyDescent="0.3">
      <c r="A48" s="67" t="s">
        <v>1270</v>
      </c>
      <c r="B48" s="68" t="s">
        <v>1180</v>
      </c>
      <c r="C48" s="69" t="s">
        <v>1655</v>
      </c>
      <c r="D48" s="70">
        <v>5.01</v>
      </c>
      <c r="E48" s="71">
        <v>1.43</v>
      </c>
      <c r="F48" s="169">
        <v>0.5</v>
      </c>
      <c r="G48" s="2">
        <f t="shared" ref="G48" si="240">D48*E48</f>
        <v>7.164299999999999</v>
      </c>
      <c r="H48" s="72">
        <f t="shared" ref="H48" si="241">G48+D48</f>
        <v>12.174299999999999</v>
      </c>
      <c r="I48" s="9">
        <f t="shared" ref="I48" si="242">H48*0.21</f>
        <v>2.5566029999999995</v>
      </c>
      <c r="J48" s="73">
        <f t="shared" ref="J48" si="243">H48+I48</f>
        <v>14.730902999999998</v>
      </c>
      <c r="L48" s="153">
        <f t="shared" si="204"/>
        <v>2.5049999999999999</v>
      </c>
      <c r="M48" s="72">
        <f t="shared" si="205"/>
        <v>7.5149999999999997</v>
      </c>
      <c r="N48" s="9">
        <f t="shared" ref="N48" si="244">M48*0.21</f>
        <v>1.5781499999999999</v>
      </c>
      <c r="O48" s="73">
        <f t="shared" ref="O48" si="245">M48+N48</f>
        <v>9.0931499999999996</v>
      </c>
    </row>
    <row r="49" spans="1:15" x14ac:dyDescent="0.3">
      <c r="A49" s="67" t="s">
        <v>1271</v>
      </c>
      <c r="B49" s="68" t="s">
        <v>1182</v>
      </c>
      <c r="C49" s="69" t="s">
        <v>1655</v>
      </c>
      <c r="D49" s="70">
        <v>4.5</v>
      </c>
      <c r="E49" s="71">
        <v>1.46</v>
      </c>
      <c r="F49" s="169">
        <v>0.5</v>
      </c>
      <c r="G49" s="2">
        <f t="shared" ref="G49" si="246">D49*E49</f>
        <v>6.57</v>
      </c>
      <c r="H49" s="72">
        <f t="shared" ref="H49" si="247">G49+D49</f>
        <v>11.07</v>
      </c>
      <c r="I49" s="9">
        <f t="shared" ref="I49" si="248">H49*0.21</f>
        <v>2.3247</v>
      </c>
      <c r="J49" s="73">
        <f t="shared" ref="J49" si="249">H49+I49</f>
        <v>13.3947</v>
      </c>
      <c r="L49" s="153">
        <f t="shared" si="204"/>
        <v>2.25</v>
      </c>
      <c r="M49" s="72">
        <f t="shared" si="205"/>
        <v>6.75</v>
      </c>
      <c r="N49" s="9">
        <f t="shared" ref="N49" si="250">M49*0.21</f>
        <v>1.4175</v>
      </c>
      <c r="O49" s="73">
        <f t="shared" ref="O49" si="251">M49+N49</f>
        <v>8.1675000000000004</v>
      </c>
    </row>
    <row r="50" spans="1:15" x14ac:dyDescent="0.3">
      <c r="A50" s="67" t="s">
        <v>1321</v>
      </c>
      <c r="B50" s="68" t="s">
        <v>1269</v>
      </c>
      <c r="C50" s="69" t="s">
        <v>1655</v>
      </c>
      <c r="D50" s="70">
        <v>3.99</v>
      </c>
      <c r="E50" s="71">
        <v>1.49</v>
      </c>
      <c r="F50" s="169">
        <v>0.5</v>
      </c>
      <c r="G50" s="2">
        <f t="shared" ref="G50" si="252">D50*E50</f>
        <v>5.9451000000000001</v>
      </c>
      <c r="H50" s="72">
        <f t="shared" ref="H50" si="253">G50+D50</f>
        <v>9.9351000000000003</v>
      </c>
      <c r="I50" s="9">
        <f t="shared" ref="I50" si="254">H50*0.21</f>
        <v>2.0863710000000002</v>
      </c>
      <c r="J50" s="73">
        <f t="shared" ref="J50" si="255">H50+I50</f>
        <v>12.021471</v>
      </c>
      <c r="L50" s="153">
        <f t="shared" ref="L50" si="256">D50*F50</f>
        <v>1.9950000000000001</v>
      </c>
      <c r="M50" s="72">
        <f t="shared" ref="M50" si="257">D50+L50</f>
        <v>5.9850000000000003</v>
      </c>
      <c r="N50" s="9">
        <f t="shared" ref="N50" si="258">M50*0.21</f>
        <v>1.25685</v>
      </c>
      <c r="O50" s="73">
        <f t="shared" ref="O50" si="259">M50+N50</f>
        <v>7.2418500000000003</v>
      </c>
    </row>
    <row r="51" spans="1:15" x14ac:dyDescent="0.3">
      <c r="A51" s="67" t="s">
        <v>1615</v>
      </c>
      <c r="B51" s="68" t="s">
        <v>1272</v>
      </c>
      <c r="C51" s="69" t="s">
        <v>1655</v>
      </c>
      <c r="D51" s="70">
        <v>3.48</v>
      </c>
      <c r="E51" s="71">
        <v>1.52</v>
      </c>
      <c r="F51" s="169">
        <v>0.5</v>
      </c>
      <c r="G51" s="2">
        <f t="shared" ref="G51" si="260">D51*E51</f>
        <v>5.2896000000000001</v>
      </c>
      <c r="H51" s="72">
        <f t="shared" ref="H51" si="261">G51+D51</f>
        <v>8.7696000000000005</v>
      </c>
      <c r="I51" s="9">
        <f t="shared" ref="I51" si="262">H51*0.21</f>
        <v>1.8416160000000001</v>
      </c>
      <c r="J51" s="73">
        <f t="shared" ref="J51" si="263">H51+I51</f>
        <v>10.611216000000001</v>
      </c>
      <c r="L51" s="153">
        <f t="shared" ref="L51" si="264">D51*F51</f>
        <v>1.74</v>
      </c>
      <c r="M51" s="72">
        <f t="shared" ref="M51" si="265">D51+L51</f>
        <v>5.22</v>
      </c>
      <c r="N51" s="9">
        <f t="shared" ref="N51" si="266">M51*0.21</f>
        <v>1.0961999999999998</v>
      </c>
      <c r="O51" s="73">
        <f t="shared" ref="O51" si="267">M51+N51</f>
        <v>6.3161999999999994</v>
      </c>
    </row>
    <row r="52" spans="1:15" x14ac:dyDescent="0.3">
      <c r="A52" s="67" t="s">
        <v>177</v>
      </c>
      <c r="B52" s="68" t="s">
        <v>178</v>
      </c>
      <c r="C52" s="69" t="s">
        <v>1655</v>
      </c>
      <c r="D52" s="70">
        <v>2.97</v>
      </c>
      <c r="E52" s="71">
        <v>1.55</v>
      </c>
      <c r="F52" s="169">
        <v>0.5</v>
      </c>
      <c r="G52" s="2">
        <f t="shared" si="198"/>
        <v>4.6035000000000004</v>
      </c>
      <c r="H52" s="72">
        <f t="shared" si="199"/>
        <v>7.573500000000001</v>
      </c>
      <c r="I52" s="9">
        <f t="shared" si="200"/>
        <v>1.590435</v>
      </c>
      <c r="J52" s="73">
        <f t="shared" si="201"/>
        <v>9.1639350000000004</v>
      </c>
      <c r="L52" s="153">
        <f t="shared" ref="L52:L54" si="268">D52*F52</f>
        <v>1.4850000000000001</v>
      </c>
      <c r="M52" s="72">
        <f t="shared" ref="M52:M54" si="269">D52+L52</f>
        <v>4.4550000000000001</v>
      </c>
      <c r="N52" s="9">
        <f t="shared" ref="N52:N54" si="270">M52*0.21</f>
        <v>0.93554999999999999</v>
      </c>
      <c r="O52" s="73">
        <f t="shared" ref="O52:O54" si="271">M52+N52</f>
        <v>5.3905500000000002</v>
      </c>
    </row>
    <row r="53" spans="1:15" x14ac:dyDescent="0.3">
      <c r="A53" s="67" t="s">
        <v>1045</v>
      </c>
      <c r="B53" s="68" t="s">
        <v>1046</v>
      </c>
      <c r="C53" s="69" t="s">
        <v>1655</v>
      </c>
      <c r="D53" s="70">
        <v>2.46</v>
      </c>
      <c r="E53" s="71">
        <v>1.58</v>
      </c>
      <c r="F53" s="169">
        <v>0.5</v>
      </c>
      <c r="G53" s="2">
        <f t="shared" si="198"/>
        <v>3.8868</v>
      </c>
      <c r="H53" s="72">
        <f t="shared" si="199"/>
        <v>6.3468</v>
      </c>
      <c r="I53" s="9">
        <f t="shared" si="200"/>
        <v>1.3328279999999999</v>
      </c>
      <c r="J53" s="73">
        <f t="shared" si="201"/>
        <v>7.6796280000000001</v>
      </c>
      <c r="L53" s="153">
        <f t="shared" si="268"/>
        <v>1.23</v>
      </c>
      <c r="M53" s="72">
        <f t="shared" si="269"/>
        <v>3.69</v>
      </c>
      <c r="N53" s="9">
        <f t="shared" si="270"/>
        <v>0.77489999999999992</v>
      </c>
      <c r="O53" s="73">
        <f t="shared" si="271"/>
        <v>4.4649000000000001</v>
      </c>
    </row>
    <row r="54" spans="1:15" x14ac:dyDescent="0.3">
      <c r="A54" s="67" t="s">
        <v>1183</v>
      </c>
      <c r="B54" s="68" t="s">
        <v>1184</v>
      </c>
      <c r="C54" s="69" t="s">
        <v>1655</v>
      </c>
      <c r="D54" s="70">
        <v>1.95</v>
      </c>
      <c r="E54" s="71">
        <v>1.61</v>
      </c>
      <c r="F54" s="169">
        <v>0.5</v>
      </c>
      <c r="G54" s="2">
        <f t="shared" ref="G54" si="272">D54*E54</f>
        <v>3.1395</v>
      </c>
      <c r="H54" s="72">
        <f t="shared" ref="H54" si="273">G54+D54</f>
        <v>5.0895000000000001</v>
      </c>
      <c r="I54" s="9">
        <f t="shared" ref="I54" si="274">H54*0.21</f>
        <v>1.0687949999999999</v>
      </c>
      <c r="J54" s="73">
        <f t="shared" ref="J54" si="275">H54+I54</f>
        <v>6.1582949999999999</v>
      </c>
      <c r="L54" s="153">
        <f t="shared" si="268"/>
        <v>0.97499999999999998</v>
      </c>
      <c r="M54" s="72">
        <f t="shared" si="269"/>
        <v>2.9249999999999998</v>
      </c>
      <c r="N54" s="9">
        <f t="shared" si="270"/>
        <v>0.61424999999999996</v>
      </c>
      <c r="O54" s="73">
        <f t="shared" si="271"/>
        <v>3.53925</v>
      </c>
    </row>
    <row r="55" spans="1:15" x14ac:dyDescent="0.3">
      <c r="A55" s="67" t="s">
        <v>1185</v>
      </c>
      <c r="B55" s="68" t="s">
        <v>1186</v>
      </c>
      <c r="C55" s="69" t="s">
        <v>1655</v>
      </c>
      <c r="D55" s="70">
        <v>1.44</v>
      </c>
      <c r="E55" s="71">
        <v>1.64</v>
      </c>
      <c r="F55" s="169">
        <v>0.5</v>
      </c>
      <c r="G55" s="2">
        <f t="shared" ref="G55" si="276">D55*E55</f>
        <v>2.3615999999999997</v>
      </c>
      <c r="H55" s="72">
        <f t="shared" ref="H55" si="277">G55+D55</f>
        <v>3.8015999999999996</v>
      </c>
      <c r="I55" s="9">
        <f t="shared" ref="I55" si="278">H55*0.21</f>
        <v>0.79833599999999993</v>
      </c>
      <c r="J55" s="73">
        <f t="shared" ref="J55" si="279">H55+I55</f>
        <v>4.5999359999999996</v>
      </c>
      <c r="L55" s="153">
        <f t="shared" ref="L55" si="280">D55*F55</f>
        <v>0.72</v>
      </c>
      <c r="M55" s="72">
        <f t="shared" ref="M55" si="281">D55+L55</f>
        <v>2.16</v>
      </c>
      <c r="N55" s="9">
        <f t="shared" ref="N55" si="282">M55*0.21</f>
        <v>0.4536</v>
      </c>
      <c r="O55" s="73">
        <f t="shared" ref="O55" si="283">M55+N55</f>
        <v>2.6135999999999999</v>
      </c>
    </row>
    <row r="56" spans="1:15" x14ac:dyDescent="0.3">
      <c r="A56" s="67" t="s">
        <v>1187</v>
      </c>
      <c r="B56" s="68" t="s">
        <v>1188</v>
      </c>
      <c r="C56" s="69" t="s">
        <v>1655</v>
      </c>
      <c r="D56" s="70">
        <v>0.93</v>
      </c>
      <c r="E56" s="71">
        <v>1.67</v>
      </c>
      <c r="F56" s="169">
        <v>0.5</v>
      </c>
      <c r="G56" s="2">
        <f t="shared" ref="G56" si="284">D56*E56</f>
        <v>1.5530999999999999</v>
      </c>
      <c r="H56" s="72">
        <f t="shared" ref="H56" si="285">G56+D56</f>
        <v>2.4830999999999999</v>
      </c>
      <c r="I56" s="9">
        <f t="shared" ref="I56" si="286">H56*0.21</f>
        <v>0.521451</v>
      </c>
      <c r="J56" s="73">
        <f t="shared" ref="J56" si="287">H56+I56</f>
        <v>3.0045509999999997</v>
      </c>
      <c r="L56" s="153">
        <f t="shared" ref="L56" si="288">D56*F56</f>
        <v>0.46500000000000002</v>
      </c>
      <c r="M56" s="72">
        <f t="shared" ref="M56" si="289">D56+L56</f>
        <v>1.395</v>
      </c>
      <c r="N56" s="9">
        <f t="shared" ref="N56" si="290">M56*0.21</f>
        <v>0.29294999999999999</v>
      </c>
      <c r="O56" s="73">
        <f t="shared" ref="O56" si="291">M56+N56</f>
        <v>1.6879500000000001</v>
      </c>
    </row>
    <row r="57" spans="1:15" x14ac:dyDescent="0.3">
      <c r="F57" s="1"/>
    </row>
    <row r="58" spans="1:15" x14ac:dyDescent="0.3">
      <c r="A58" s="74" t="s">
        <v>20</v>
      </c>
      <c r="B58" s="75" t="s">
        <v>21</v>
      </c>
      <c r="C58" s="76" t="s">
        <v>1655</v>
      </c>
      <c r="D58" s="77">
        <v>76.62</v>
      </c>
      <c r="E58" s="78">
        <v>0.08</v>
      </c>
      <c r="F58" s="170">
        <v>0.03</v>
      </c>
      <c r="G58" s="2">
        <f t="shared" ref="G58:G63" si="292">D58*E58</f>
        <v>6.1296000000000008</v>
      </c>
      <c r="H58" s="79">
        <f t="shared" ref="H58:H63" si="293">G58+D58</f>
        <v>82.749600000000001</v>
      </c>
      <c r="I58" s="9">
        <f t="shared" ref="I58:I63" si="294">H58*0.21</f>
        <v>17.377416</v>
      </c>
      <c r="J58" s="80">
        <f t="shared" ref="J58:J63" si="295">H58+I58</f>
        <v>100.127016</v>
      </c>
      <c r="L58" s="153">
        <f>D58*F58</f>
        <v>2.2986</v>
      </c>
      <c r="M58" s="79">
        <f>D58+L58</f>
        <v>78.918599999999998</v>
      </c>
      <c r="N58" s="9">
        <f t="shared" ref="N58:N131" si="296">M58*0.21</f>
        <v>16.572906</v>
      </c>
      <c r="O58" s="80">
        <f t="shared" ref="O58:O116" si="297">M58+N58</f>
        <v>95.491506000000001</v>
      </c>
    </row>
    <row r="59" spans="1:15" x14ac:dyDescent="0.3">
      <c r="A59" s="74" t="s">
        <v>46</v>
      </c>
      <c r="B59" s="75" t="s">
        <v>47</v>
      </c>
      <c r="C59" s="76" t="s">
        <v>1655</v>
      </c>
      <c r="D59" s="77">
        <v>78.430000000000007</v>
      </c>
      <c r="E59" s="78">
        <v>0.08</v>
      </c>
      <c r="F59" s="170">
        <v>0.03</v>
      </c>
      <c r="G59" s="2">
        <f t="shared" si="292"/>
        <v>6.2744000000000009</v>
      </c>
      <c r="H59" s="79">
        <f t="shared" si="293"/>
        <v>84.704400000000007</v>
      </c>
      <c r="I59" s="9">
        <f t="shared" si="294"/>
        <v>17.787924</v>
      </c>
      <c r="J59" s="80">
        <f t="shared" si="295"/>
        <v>102.49232400000001</v>
      </c>
      <c r="L59" s="153">
        <f t="shared" ref="L59:L63" si="298">D59*F59</f>
        <v>2.3529</v>
      </c>
      <c r="M59" s="79">
        <f t="shared" ref="M59:M63" si="299">D59+L59</f>
        <v>80.782900000000012</v>
      </c>
      <c r="N59" s="9">
        <f t="shared" si="296"/>
        <v>16.964409000000003</v>
      </c>
      <c r="O59" s="80">
        <f t="shared" si="297"/>
        <v>97.747309000000016</v>
      </c>
    </row>
    <row r="60" spans="1:15" x14ac:dyDescent="0.3">
      <c r="A60" s="74" t="s">
        <v>48</v>
      </c>
      <c r="B60" s="75" t="s">
        <v>49</v>
      </c>
      <c r="C60" s="76" t="s">
        <v>1655</v>
      </c>
      <c r="D60" s="77">
        <v>80.239999999999995</v>
      </c>
      <c r="E60" s="78">
        <v>0.08</v>
      </c>
      <c r="F60" s="170">
        <v>0.03</v>
      </c>
      <c r="G60" s="2">
        <f t="shared" si="292"/>
        <v>6.4192</v>
      </c>
      <c r="H60" s="79">
        <f t="shared" si="293"/>
        <v>86.659199999999998</v>
      </c>
      <c r="I60" s="9">
        <f t="shared" si="294"/>
        <v>18.198432</v>
      </c>
      <c r="J60" s="80">
        <f t="shared" si="295"/>
        <v>104.857632</v>
      </c>
      <c r="L60" s="153">
        <f t="shared" si="298"/>
        <v>2.4071999999999996</v>
      </c>
      <c r="M60" s="79">
        <f t="shared" si="299"/>
        <v>82.647199999999998</v>
      </c>
      <c r="N60" s="9">
        <f t="shared" si="296"/>
        <v>17.355912</v>
      </c>
      <c r="O60" s="80">
        <f t="shared" si="297"/>
        <v>100.003112</v>
      </c>
    </row>
    <row r="61" spans="1:15" x14ac:dyDescent="0.3">
      <c r="A61" s="74" t="s">
        <v>50</v>
      </c>
      <c r="B61" s="75" t="s">
        <v>51</v>
      </c>
      <c r="C61" s="76" t="s">
        <v>1655</v>
      </c>
      <c r="D61" s="77">
        <v>82.05</v>
      </c>
      <c r="E61" s="78">
        <v>0.08</v>
      </c>
      <c r="F61" s="170">
        <v>0.03</v>
      </c>
      <c r="G61" s="2">
        <f t="shared" si="292"/>
        <v>6.5640000000000001</v>
      </c>
      <c r="H61" s="79">
        <f t="shared" si="293"/>
        <v>88.614000000000004</v>
      </c>
      <c r="I61" s="9">
        <f t="shared" si="294"/>
        <v>18.60894</v>
      </c>
      <c r="J61" s="80">
        <f t="shared" si="295"/>
        <v>107.22294000000001</v>
      </c>
      <c r="L61" s="153">
        <f t="shared" si="298"/>
        <v>2.4615</v>
      </c>
      <c r="M61" s="79">
        <f t="shared" si="299"/>
        <v>84.511499999999998</v>
      </c>
      <c r="N61" s="9">
        <f t="shared" si="296"/>
        <v>17.747415</v>
      </c>
      <c r="O61" s="80">
        <f t="shared" si="297"/>
        <v>102.258915</v>
      </c>
    </row>
    <row r="62" spans="1:15" x14ac:dyDescent="0.3">
      <c r="A62" s="74" t="s">
        <v>65</v>
      </c>
      <c r="B62" s="75" t="s">
        <v>66</v>
      </c>
      <c r="C62" s="76" t="s">
        <v>1655</v>
      </c>
      <c r="D62" s="77">
        <v>83.86</v>
      </c>
      <c r="E62" s="78">
        <v>0.08</v>
      </c>
      <c r="F62" s="170">
        <v>0.03</v>
      </c>
      <c r="G62" s="2">
        <f t="shared" si="292"/>
        <v>6.7088000000000001</v>
      </c>
      <c r="H62" s="79">
        <f t="shared" si="293"/>
        <v>90.568799999999996</v>
      </c>
      <c r="I62" s="9">
        <f t="shared" si="294"/>
        <v>19.019447999999997</v>
      </c>
      <c r="J62" s="80">
        <f t="shared" si="295"/>
        <v>109.58824799999999</v>
      </c>
      <c r="L62" s="153">
        <f t="shared" si="298"/>
        <v>2.5158</v>
      </c>
      <c r="M62" s="79">
        <f t="shared" si="299"/>
        <v>86.375799999999998</v>
      </c>
      <c r="N62" s="9">
        <f t="shared" si="296"/>
        <v>18.138918</v>
      </c>
      <c r="O62" s="80">
        <f t="shared" si="297"/>
        <v>104.514718</v>
      </c>
    </row>
    <row r="63" spans="1:15" x14ac:dyDescent="0.3">
      <c r="A63" s="74" t="s">
        <v>67</v>
      </c>
      <c r="B63" s="75" t="s">
        <v>68</v>
      </c>
      <c r="C63" s="76" t="s">
        <v>1655</v>
      </c>
      <c r="D63" s="77">
        <v>85.67</v>
      </c>
      <c r="E63" s="78">
        <v>0.08</v>
      </c>
      <c r="F63" s="170">
        <v>0.03</v>
      </c>
      <c r="G63" s="2">
        <f t="shared" si="292"/>
        <v>6.8536000000000001</v>
      </c>
      <c r="H63" s="79">
        <f t="shared" si="293"/>
        <v>92.523600000000002</v>
      </c>
      <c r="I63" s="9">
        <f t="shared" si="294"/>
        <v>19.429956000000001</v>
      </c>
      <c r="J63" s="80">
        <f t="shared" si="295"/>
        <v>111.95355600000001</v>
      </c>
      <c r="L63" s="153">
        <f t="shared" si="298"/>
        <v>2.5701000000000001</v>
      </c>
      <c r="M63" s="79">
        <f t="shared" si="299"/>
        <v>88.240099999999998</v>
      </c>
      <c r="N63" s="9">
        <f t="shared" si="296"/>
        <v>18.530421</v>
      </c>
      <c r="O63" s="80">
        <f t="shared" si="297"/>
        <v>106.770521</v>
      </c>
    </row>
    <row r="64" spans="1:15" x14ac:dyDescent="0.3">
      <c r="A64" s="74" t="s">
        <v>179</v>
      </c>
      <c r="B64" s="75" t="s">
        <v>180</v>
      </c>
      <c r="C64" s="76" t="s">
        <v>1655</v>
      </c>
      <c r="D64" s="77">
        <v>87.48</v>
      </c>
      <c r="E64" s="78">
        <v>0.08</v>
      </c>
      <c r="F64" s="170">
        <v>0.03</v>
      </c>
      <c r="G64" s="2">
        <f t="shared" ref="G64" si="300">D64*E64</f>
        <v>6.9984000000000002</v>
      </c>
      <c r="H64" s="79">
        <f t="shared" ref="H64" si="301">G64+D64</f>
        <v>94.478400000000008</v>
      </c>
      <c r="I64" s="9">
        <f t="shared" ref="I64" si="302">H64*0.21</f>
        <v>19.840464000000001</v>
      </c>
      <c r="J64" s="80">
        <f t="shared" ref="J64" si="303">H64+I64</f>
        <v>114.318864</v>
      </c>
      <c r="L64" s="153">
        <f t="shared" ref="L64" si="304">D64*F64</f>
        <v>2.6244000000000001</v>
      </c>
      <c r="M64" s="79">
        <f t="shared" ref="M64" si="305">D64+L64</f>
        <v>90.104399999999998</v>
      </c>
      <c r="N64" s="9">
        <f t="shared" ref="N64" si="306">M64*0.21</f>
        <v>18.921924000000001</v>
      </c>
      <c r="O64" s="80">
        <f t="shared" ref="O64" si="307">M64+N64</f>
        <v>109.026324</v>
      </c>
    </row>
    <row r="65" spans="1:15" x14ac:dyDescent="0.3">
      <c r="A65" s="74" t="s">
        <v>320</v>
      </c>
      <c r="B65" s="75" t="s">
        <v>321</v>
      </c>
      <c r="C65" s="76" t="s">
        <v>1655</v>
      </c>
      <c r="D65" s="77">
        <v>89.29</v>
      </c>
      <c r="E65" s="78">
        <v>0.08</v>
      </c>
      <c r="F65" s="170">
        <v>0.03</v>
      </c>
      <c r="G65" s="2">
        <f t="shared" ref="G65:G66" si="308">D65*E65</f>
        <v>7.1432000000000002</v>
      </c>
      <c r="H65" s="79">
        <f t="shared" ref="H65:H66" si="309">G65+D65</f>
        <v>96.433199999999999</v>
      </c>
      <c r="I65" s="9">
        <f t="shared" ref="I65:I66" si="310">H65*0.21</f>
        <v>20.250972000000001</v>
      </c>
      <c r="J65" s="80">
        <f t="shared" ref="J65:J66" si="311">H65+I65</f>
        <v>116.684172</v>
      </c>
      <c r="L65" s="153">
        <f t="shared" ref="L65:L66" si="312">D65*F65</f>
        <v>2.6787000000000001</v>
      </c>
      <c r="M65" s="79">
        <f t="shared" ref="M65:M66" si="313">D65+L65</f>
        <v>91.968700000000013</v>
      </c>
      <c r="N65" s="9">
        <f t="shared" ref="N65:N66" si="314">M65*0.21</f>
        <v>19.313427000000001</v>
      </c>
      <c r="O65" s="80">
        <f t="shared" ref="O65:O66" si="315">M65+N65</f>
        <v>111.28212700000002</v>
      </c>
    </row>
    <row r="66" spans="1:15" x14ac:dyDescent="0.3">
      <c r="A66" s="74" t="s">
        <v>322</v>
      </c>
      <c r="B66" s="75" t="s">
        <v>323</v>
      </c>
      <c r="C66" s="76" t="s">
        <v>1655</v>
      </c>
      <c r="D66" s="77">
        <v>91.1</v>
      </c>
      <c r="E66" s="78">
        <v>0.08</v>
      </c>
      <c r="F66" s="170">
        <v>0.03</v>
      </c>
      <c r="G66" s="2">
        <f t="shared" si="308"/>
        <v>7.2879999999999994</v>
      </c>
      <c r="H66" s="79">
        <f t="shared" si="309"/>
        <v>98.387999999999991</v>
      </c>
      <c r="I66" s="9">
        <f t="shared" si="310"/>
        <v>20.661479999999997</v>
      </c>
      <c r="J66" s="80">
        <f t="shared" si="311"/>
        <v>119.04947999999999</v>
      </c>
      <c r="L66" s="153">
        <f t="shared" si="312"/>
        <v>2.7329999999999997</v>
      </c>
      <c r="M66" s="79">
        <f t="shared" si="313"/>
        <v>93.832999999999998</v>
      </c>
      <c r="N66" s="9">
        <f t="shared" si="314"/>
        <v>19.704929999999997</v>
      </c>
      <c r="O66" s="80">
        <f t="shared" si="315"/>
        <v>113.53792999999999</v>
      </c>
    </row>
    <row r="67" spans="1:15" x14ac:dyDescent="0.3">
      <c r="A67" s="74" t="s">
        <v>462</v>
      </c>
      <c r="B67" s="345" t="s">
        <v>628</v>
      </c>
      <c r="C67" s="76" t="s">
        <v>1655</v>
      </c>
      <c r="D67" s="77">
        <v>92.91</v>
      </c>
      <c r="E67" s="78">
        <v>0.08</v>
      </c>
      <c r="F67" s="170">
        <v>0.03</v>
      </c>
      <c r="G67" s="2">
        <f t="shared" ref="G67:G68" si="316">D67*E67</f>
        <v>7.4328000000000003</v>
      </c>
      <c r="H67" s="79">
        <f t="shared" ref="H67:H68" si="317">G67+D67</f>
        <v>100.3428</v>
      </c>
      <c r="I67" s="9">
        <f t="shared" ref="I67:I68" si="318">H67*0.21</f>
        <v>21.071987999999997</v>
      </c>
      <c r="J67" s="80">
        <f t="shared" ref="J67:J68" si="319">H67+I67</f>
        <v>121.41478799999999</v>
      </c>
      <c r="L67" s="153">
        <f t="shared" ref="L67" si="320">D67*F67</f>
        <v>2.7872999999999997</v>
      </c>
      <c r="M67" s="79">
        <f t="shared" ref="M67" si="321">D67+L67</f>
        <v>95.697299999999998</v>
      </c>
      <c r="N67" s="9">
        <f t="shared" ref="N67:N68" si="322">M67*0.21</f>
        <v>20.096432999999998</v>
      </c>
      <c r="O67" s="80">
        <f t="shared" ref="O67:O68" si="323">M67+N67</f>
        <v>115.793733</v>
      </c>
    </row>
    <row r="68" spans="1:15" x14ac:dyDescent="0.3">
      <c r="A68" s="74" t="s">
        <v>496</v>
      </c>
      <c r="B68" s="75" t="s">
        <v>630</v>
      </c>
      <c r="C68" s="76" t="s">
        <v>1655</v>
      </c>
      <c r="D68" s="77">
        <v>94.72</v>
      </c>
      <c r="E68" s="78">
        <v>0.08</v>
      </c>
      <c r="F68" s="170">
        <v>0.03</v>
      </c>
      <c r="G68" s="2">
        <f t="shared" si="316"/>
        <v>7.5776000000000003</v>
      </c>
      <c r="H68" s="79">
        <f t="shared" si="317"/>
        <v>102.2976</v>
      </c>
      <c r="I68" s="9">
        <f t="shared" si="318"/>
        <v>21.482496000000001</v>
      </c>
      <c r="J68" s="80">
        <f t="shared" si="319"/>
        <v>123.780096</v>
      </c>
      <c r="L68" s="153">
        <f t="shared" ref="L68:L72" si="324">D68*F68</f>
        <v>2.8415999999999997</v>
      </c>
      <c r="M68" s="79">
        <f t="shared" ref="M68:M72" si="325">D68+L68</f>
        <v>97.561599999999999</v>
      </c>
      <c r="N68" s="9">
        <f t="shared" si="322"/>
        <v>20.487935999999998</v>
      </c>
      <c r="O68" s="80">
        <f t="shared" si="323"/>
        <v>118.04953599999999</v>
      </c>
    </row>
    <row r="69" spans="1:15" x14ac:dyDescent="0.3">
      <c r="A69" s="74" t="s">
        <v>521</v>
      </c>
      <c r="B69" s="75" t="s">
        <v>632</v>
      </c>
      <c r="C69" s="76" t="s">
        <v>1655</v>
      </c>
      <c r="D69" s="77">
        <v>96.53</v>
      </c>
      <c r="E69" s="78">
        <v>0.08</v>
      </c>
      <c r="F69" s="170">
        <v>0.03</v>
      </c>
      <c r="G69" s="2">
        <f t="shared" ref="G69" si="326">D69*E69</f>
        <v>7.7224000000000004</v>
      </c>
      <c r="H69" s="79">
        <f t="shared" ref="H69" si="327">G69+D69</f>
        <v>104.25239999999999</v>
      </c>
      <c r="I69" s="9">
        <f t="shared" ref="I69" si="328">H69*0.21</f>
        <v>21.893003999999998</v>
      </c>
      <c r="J69" s="80">
        <f t="shared" ref="J69" si="329">H69+I69</f>
        <v>126.14540399999998</v>
      </c>
      <c r="L69" s="153">
        <f t="shared" si="324"/>
        <v>2.8959000000000001</v>
      </c>
      <c r="M69" s="79">
        <f t="shared" si="325"/>
        <v>99.425899999999999</v>
      </c>
      <c r="N69" s="9">
        <f t="shared" ref="N69" si="330">M69*0.21</f>
        <v>20.879438999999998</v>
      </c>
      <c r="O69" s="80">
        <f t="shared" ref="O69" si="331">M69+N69</f>
        <v>120.305339</v>
      </c>
    </row>
    <row r="70" spans="1:15" x14ac:dyDescent="0.3">
      <c r="A70" s="74" t="s">
        <v>627</v>
      </c>
      <c r="B70" s="75" t="s">
        <v>664</v>
      </c>
      <c r="C70" s="76" t="s">
        <v>1655</v>
      </c>
      <c r="D70" s="77">
        <v>98.34</v>
      </c>
      <c r="E70" s="78">
        <v>0.08</v>
      </c>
      <c r="F70" s="170">
        <v>0.03</v>
      </c>
      <c r="G70" s="2">
        <f t="shared" ref="G70" si="332">D70*E70</f>
        <v>7.8672000000000004</v>
      </c>
      <c r="H70" s="79">
        <f t="shared" ref="H70" si="333">G70+D70</f>
        <v>106.2072</v>
      </c>
      <c r="I70" s="9">
        <f t="shared" ref="I70" si="334">H70*0.21</f>
        <v>22.303511999999998</v>
      </c>
      <c r="J70" s="80">
        <f t="shared" ref="J70" si="335">H70+I70</f>
        <v>128.51071200000001</v>
      </c>
      <c r="L70" s="153">
        <f t="shared" si="324"/>
        <v>2.9502000000000002</v>
      </c>
      <c r="M70" s="79">
        <f t="shared" si="325"/>
        <v>101.2902</v>
      </c>
      <c r="N70" s="9">
        <f t="shared" ref="N70" si="336">M70*0.21</f>
        <v>21.270941999999998</v>
      </c>
      <c r="O70" s="80">
        <f t="shared" ref="O70" si="337">M70+N70</f>
        <v>122.56114199999999</v>
      </c>
    </row>
    <row r="71" spans="1:15" x14ac:dyDescent="0.3">
      <c r="A71" s="74" t="s">
        <v>629</v>
      </c>
      <c r="B71" s="75" t="s">
        <v>712</v>
      </c>
      <c r="C71" s="76" t="s">
        <v>1655</v>
      </c>
      <c r="D71" s="77">
        <v>100.15</v>
      </c>
      <c r="E71" s="78">
        <v>0.08</v>
      </c>
      <c r="F71" s="170">
        <v>0.03</v>
      </c>
      <c r="G71" s="2">
        <f t="shared" ref="G71" si="338">D71*E71</f>
        <v>8.0120000000000005</v>
      </c>
      <c r="H71" s="79">
        <f t="shared" ref="H71" si="339">G71+D71</f>
        <v>108.16200000000001</v>
      </c>
      <c r="I71" s="9">
        <f t="shared" ref="I71" si="340">H71*0.21</f>
        <v>22.714020000000001</v>
      </c>
      <c r="J71" s="80">
        <f t="shared" ref="J71" si="341">H71+I71</f>
        <v>130.87602000000001</v>
      </c>
      <c r="L71" s="153">
        <f t="shared" si="324"/>
        <v>3.0045000000000002</v>
      </c>
      <c r="M71" s="79">
        <f t="shared" si="325"/>
        <v>103.15450000000001</v>
      </c>
      <c r="N71" s="9">
        <f t="shared" ref="N71" si="342">M71*0.21</f>
        <v>21.662445000000002</v>
      </c>
      <c r="O71" s="80">
        <f t="shared" ref="O71" si="343">M71+N71</f>
        <v>124.81694500000002</v>
      </c>
    </row>
    <row r="72" spans="1:15" x14ac:dyDescent="0.3">
      <c r="A72" s="74" t="s">
        <v>631</v>
      </c>
      <c r="B72" s="75" t="s">
        <v>955</v>
      </c>
      <c r="C72" s="76" t="s">
        <v>1655</v>
      </c>
      <c r="D72" s="77">
        <v>101.96</v>
      </c>
      <c r="E72" s="78">
        <v>0.08</v>
      </c>
      <c r="F72" s="170">
        <v>0.03</v>
      </c>
      <c r="G72" s="2">
        <f t="shared" ref="G72" si="344">D72*E72</f>
        <v>8.1568000000000005</v>
      </c>
      <c r="H72" s="79">
        <f t="shared" ref="H72" si="345">G72+D72</f>
        <v>110.1168</v>
      </c>
      <c r="I72" s="9">
        <f t="shared" ref="I72" si="346">H72*0.21</f>
        <v>23.124527999999998</v>
      </c>
      <c r="J72" s="80">
        <f t="shared" ref="J72" si="347">H72+I72</f>
        <v>133.24132800000001</v>
      </c>
      <c r="L72" s="153">
        <f t="shared" si="324"/>
        <v>3.0587999999999997</v>
      </c>
      <c r="M72" s="79">
        <f t="shared" si="325"/>
        <v>105.0188</v>
      </c>
      <c r="N72" s="9">
        <f t="shared" ref="N72" si="348">M72*0.21</f>
        <v>22.053947999999998</v>
      </c>
      <c r="O72" s="80">
        <f t="shared" ref="O72" si="349">M72+N72</f>
        <v>127.07274799999999</v>
      </c>
    </row>
    <row r="73" spans="1:15" x14ac:dyDescent="0.3">
      <c r="A73" s="74" t="s">
        <v>663</v>
      </c>
      <c r="B73" s="75" t="s">
        <v>1019</v>
      </c>
      <c r="C73" s="76" t="s">
        <v>1655</v>
      </c>
      <c r="D73" s="77">
        <v>103.77</v>
      </c>
      <c r="E73" s="78">
        <v>0.08</v>
      </c>
      <c r="F73" s="170">
        <v>0.03</v>
      </c>
      <c r="G73" s="2">
        <f t="shared" ref="G73:G78" si="350">D73*E73</f>
        <v>8.3016000000000005</v>
      </c>
      <c r="H73" s="79">
        <f t="shared" ref="H73:H78" si="351">G73+D73</f>
        <v>112.07159999999999</v>
      </c>
      <c r="I73" s="9">
        <f t="shared" ref="I73:I78" si="352">H73*0.21</f>
        <v>23.535035999999998</v>
      </c>
      <c r="J73" s="80">
        <f t="shared" ref="J73:J78" si="353">H73+I73</f>
        <v>135.60663599999998</v>
      </c>
      <c r="L73" s="153">
        <f t="shared" ref="L73:L78" si="354">D73*F73</f>
        <v>3.1130999999999998</v>
      </c>
      <c r="M73" s="79">
        <f t="shared" ref="M73:M78" si="355">D73+L73</f>
        <v>106.8831</v>
      </c>
      <c r="N73" s="9">
        <f t="shared" ref="N73:N78" si="356">M73*0.21</f>
        <v>22.445450999999998</v>
      </c>
      <c r="O73" s="80">
        <f t="shared" ref="O73:O78" si="357">M73+N73</f>
        <v>129.328551</v>
      </c>
    </row>
    <row r="74" spans="1:15" x14ac:dyDescent="0.3">
      <c r="A74" s="74" t="s">
        <v>674</v>
      </c>
      <c r="B74" s="75" t="s">
        <v>1040</v>
      </c>
      <c r="C74" s="76" t="s">
        <v>1655</v>
      </c>
      <c r="D74" s="77">
        <v>105.58</v>
      </c>
      <c r="E74" s="78">
        <v>0.08</v>
      </c>
      <c r="F74" s="170">
        <v>0.03</v>
      </c>
      <c r="G74" s="2">
        <f t="shared" si="350"/>
        <v>8.4464000000000006</v>
      </c>
      <c r="H74" s="79">
        <f t="shared" si="351"/>
        <v>114.0264</v>
      </c>
      <c r="I74" s="9">
        <f t="shared" si="352"/>
        <v>23.945543999999998</v>
      </c>
      <c r="J74" s="80">
        <f t="shared" si="353"/>
        <v>137.97194400000001</v>
      </c>
      <c r="L74" s="153">
        <f t="shared" si="354"/>
        <v>3.1673999999999998</v>
      </c>
      <c r="M74" s="79">
        <f t="shared" si="355"/>
        <v>108.7474</v>
      </c>
      <c r="N74" s="9">
        <f t="shared" si="356"/>
        <v>22.836953999999999</v>
      </c>
      <c r="O74" s="80">
        <f t="shared" si="357"/>
        <v>131.58435399999999</v>
      </c>
    </row>
    <row r="75" spans="1:15" x14ac:dyDescent="0.3">
      <c r="A75" s="74" t="s">
        <v>954</v>
      </c>
      <c r="B75" s="75" t="s">
        <v>1055</v>
      </c>
      <c r="C75" s="76" t="s">
        <v>1655</v>
      </c>
      <c r="D75" s="77">
        <v>107.39</v>
      </c>
      <c r="E75" s="78">
        <v>0.08</v>
      </c>
      <c r="F75" s="170">
        <v>0.03</v>
      </c>
      <c r="G75" s="2">
        <f t="shared" si="350"/>
        <v>8.5912000000000006</v>
      </c>
      <c r="H75" s="79">
        <f t="shared" si="351"/>
        <v>115.9812</v>
      </c>
      <c r="I75" s="9">
        <f t="shared" si="352"/>
        <v>24.356051999999998</v>
      </c>
      <c r="J75" s="80">
        <f t="shared" si="353"/>
        <v>140.33725200000001</v>
      </c>
      <c r="L75" s="153">
        <f t="shared" si="354"/>
        <v>3.2216999999999998</v>
      </c>
      <c r="M75" s="79">
        <f t="shared" si="355"/>
        <v>110.6117</v>
      </c>
      <c r="N75" s="9">
        <f t="shared" si="356"/>
        <v>23.228456999999999</v>
      </c>
      <c r="O75" s="80">
        <f t="shared" si="357"/>
        <v>133.840157</v>
      </c>
    </row>
    <row r="76" spans="1:15" x14ac:dyDescent="0.3">
      <c r="A76" s="74" t="s">
        <v>1018</v>
      </c>
      <c r="B76" s="75" t="s">
        <v>1057</v>
      </c>
      <c r="C76" s="76" t="s">
        <v>1655</v>
      </c>
      <c r="D76" s="77">
        <v>109.2</v>
      </c>
      <c r="E76" s="78">
        <v>0.08</v>
      </c>
      <c r="F76" s="170">
        <v>0.03</v>
      </c>
      <c r="G76" s="2">
        <f t="shared" si="350"/>
        <v>8.7360000000000007</v>
      </c>
      <c r="H76" s="79">
        <f t="shared" si="351"/>
        <v>117.93600000000001</v>
      </c>
      <c r="I76" s="9">
        <f t="shared" si="352"/>
        <v>24.766560000000002</v>
      </c>
      <c r="J76" s="80">
        <f t="shared" si="353"/>
        <v>142.70256000000001</v>
      </c>
      <c r="L76" s="153">
        <f t="shared" si="354"/>
        <v>3.2759999999999998</v>
      </c>
      <c r="M76" s="79">
        <f t="shared" si="355"/>
        <v>112.476</v>
      </c>
      <c r="N76" s="9">
        <f t="shared" si="356"/>
        <v>23.619959999999999</v>
      </c>
      <c r="O76" s="80">
        <f t="shared" si="357"/>
        <v>136.09595999999999</v>
      </c>
    </row>
    <row r="77" spans="1:15" x14ac:dyDescent="0.3">
      <c r="A77" s="74" t="s">
        <v>1039</v>
      </c>
      <c r="B77" s="75" t="s">
        <v>1093</v>
      </c>
      <c r="C77" s="76" t="s">
        <v>1655</v>
      </c>
      <c r="D77" s="77">
        <v>111.01</v>
      </c>
      <c r="E77" s="78">
        <v>0.08</v>
      </c>
      <c r="F77" s="170">
        <v>0.03</v>
      </c>
      <c r="G77" s="2">
        <f t="shared" si="350"/>
        <v>8.8808000000000007</v>
      </c>
      <c r="H77" s="79">
        <f t="shared" si="351"/>
        <v>119.89080000000001</v>
      </c>
      <c r="I77" s="9">
        <f t="shared" si="352"/>
        <v>25.177068000000002</v>
      </c>
      <c r="J77" s="80">
        <f t="shared" si="353"/>
        <v>145.067868</v>
      </c>
      <c r="L77" s="153">
        <f t="shared" si="354"/>
        <v>3.3302999999999998</v>
      </c>
      <c r="M77" s="79">
        <f t="shared" si="355"/>
        <v>114.3403</v>
      </c>
      <c r="N77" s="9">
        <f t="shared" si="356"/>
        <v>24.011462999999999</v>
      </c>
      <c r="O77" s="80">
        <f t="shared" si="357"/>
        <v>138.35176300000001</v>
      </c>
    </row>
    <row r="78" spans="1:15" x14ac:dyDescent="0.3">
      <c r="A78" s="74" t="s">
        <v>1054</v>
      </c>
      <c r="B78" s="75" t="s">
        <v>1144</v>
      </c>
      <c r="C78" s="76" t="s">
        <v>1655</v>
      </c>
      <c r="D78" s="77">
        <v>112.82</v>
      </c>
      <c r="E78" s="78">
        <v>0.08</v>
      </c>
      <c r="F78" s="170">
        <v>0.03</v>
      </c>
      <c r="G78" s="2">
        <f t="shared" si="350"/>
        <v>9.025599999999999</v>
      </c>
      <c r="H78" s="79">
        <f t="shared" si="351"/>
        <v>121.84559999999999</v>
      </c>
      <c r="I78" s="9">
        <f t="shared" si="352"/>
        <v>25.587575999999999</v>
      </c>
      <c r="J78" s="80">
        <f t="shared" si="353"/>
        <v>147.433176</v>
      </c>
      <c r="L78" s="153">
        <f t="shared" si="354"/>
        <v>3.3845999999999998</v>
      </c>
      <c r="M78" s="79">
        <f t="shared" si="355"/>
        <v>116.2046</v>
      </c>
      <c r="N78" s="9">
        <f t="shared" si="356"/>
        <v>24.402965999999999</v>
      </c>
      <c r="O78" s="80">
        <f t="shared" si="357"/>
        <v>140.60756599999999</v>
      </c>
    </row>
    <row r="79" spans="1:15" x14ac:dyDescent="0.3">
      <c r="A79" s="74" t="s">
        <v>1056</v>
      </c>
      <c r="B79" s="75" t="s">
        <v>1162</v>
      </c>
      <c r="C79" s="76" t="s">
        <v>1655</v>
      </c>
      <c r="D79" s="77">
        <v>114.63</v>
      </c>
      <c r="E79" s="78">
        <v>0.08</v>
      </c>
      <c r="F79" s="170">
        <v>0.03</v>
      </c>
      <c r="G79" s="2">
        <f t="shared" ref="G79" si="358">D79*E79</f>
        <v>9.170399999999999</v>
      </c>
      <c r="H79" s="79">
        <f t="shared" ref="H79" si="359">G79+D79</f>
        <v>123.8004</v>
      </c>
      <c r="I79" s="9">
        <f t="shared" ref="I79" si="360">H79*0.21</f>
        <v>25.998083999999999</v>
      </c>
      <c r="J79" s="80">
        <f t="shared" ref="J79" si="361">H79+I79</f>
        <v>149.798484</v>
      </c>
      <c r="L79" s="153">
        <f t="shared" ref="L79" si="362">D79*F79</f>
        <v>3.4388999999999998</v>
      </c>
      <c r="M79" s="79">
        <f t="shared" ref="M79" si="363">D79+L79</f>
        <v>118.0689</v>
      </c>
      <c r="N79" s="9">
        <f t="shared" ref="N79" si="364">M79*0.21</f>
        <v>24.794468999999999</v>
      </c>
      <c r="O79" s="80">
        <f t="shared" ref="O79" si="365">M79+N79</f>
        <v>142.86336900000001</v>
      </c>
    </row>
    <row r="80" spans="1:15" x14ac:dyDescent="0.3">
      <c r="A80" s="74" t="s">
        <v>1092</v>
      </c>
      <c r="B80" s="75" t="s">
        <v>1164</v>
      </c>
      <c r="C80" s="76" t="s">
        <v>1655</v>
      </c>
      <c r="D80" s="77">
        <v>116.44</v>
      </c>
      <c r="E80" s="78">
        <v>0.08</v>
      </c>
      <c r="F80" s="170">
        <v>0.03</v>
      </c>
      <c r="G80" s="2">
        <f t="shared" ref="G80" si="366">D80*E80</f>
        <v>9.3152000000000008</v>
      </c>
      <c r="H80" s="79">
        <f t="shared" ref="H80" si="367">G80+D80</f>
        <v>125.7552</v>
      </c>
      <c r="I80" s="9">
        <f t="shared" ref="I80" si="368">H80*0.21</f>
        <v>26.408591999999999</v>
      </c>
      <c r="J80" s="80">
        <f t="shared" ref="J80" si="369">H80+I80</f>
        <v>152.163792</v>
      </c>
      <c r="L80" s="153">
        <f t="shared" ref="L80" si="370">D80*F80</f>
        <v>3.4931999999999999</v>
      </c>
      <c r="M80" s="79">
        <f t="shared" ref="M80" si="371">D80+L80</f>
        <v>119.9332</v>
      </c>
      <c r="N80" s="9">
        <f t="shared" ref="N80" si="372">M80*0.21</f>
        <v>25.185972</v>
      </c>
      <c r="O80" s="80">
        <f t="shared" ref="O80" si="373">M80+N80</f>
        <v>145.11917199999999</v>
      </c>
    </row>
    <row r="81" spans="1:15" x14ac:dyDescent="0.3">
      <c r="A81" s="74" t="s">
        <v>1143</v>
      </c>
      <c r="B81" s="75" t="s">
        <v>1211</v>
      </c>
      <c r="C81" s="76" t="s">
        <v>1655</v>
      </c>
      <c r="D81" s="77">
        <v>118.25</v>
      </c>
      <c r="E81" s="78">
        <v>0.08</v>
      </c>
      <c r="F81" s="170">
        <v>0.03</v>
      </c>
      <c r="G81" s="2">
        <f t="shared" ref="G81" si="374">D81*E81</f>
        <v>9.4600000000000009</v>
      </c>
      <c r="H81" s="79">
        <f t="shared" ref="H81" si="375">G81+D81</f>
        <v>127.71000000000001</v>
      </c>
      <c r="I81" s="9">
        <f t="shared" ref="I81" si="376">H81*0.21</f>
        <v>26.819100000000002</v>
      </c>
      <c r="J81" s="80">
        <f t="shared" ref="J81" si="377">H81+I81</f>
        <v>154.5291</v>
      </c>
      <c r="L81" s="153">
        <f t="shared" ref="L81" si="378">D81*F81</f>
        <v>3.5474999999999999</v>
      </c>
      <c r="M81" s="79">
        <f t="shared" ref="M81" si="379">D81+L81</f>
        <v>121.7975</v>
      </c>
      <c r="N81" s="9">
        <f t="shared" ref="N81" si="380">M81*0.21</f>
        <v>25.577475</v>
      </c>
      <c r="O81" s="80">
        <f t="shared" ref="O81" si="381">M81+N81</f>
        <v>147.37497500000001</v>
      </c>
    </row>
    <row r="82" spans="1:15" x14ac:dyDescent="0.3">
      <c r="A82" s="74" t="s">
        <v>1161</v>
      </c>
      <c r="B82" s="75" t="s">
        <v>1253</v>
      </c>
      <c r="C82" s="76" t="s">
        <v>1655</v>
      </c>
      <c r="D82" s="77">
        <v>120.06</v>
      </c>
      <c r="E82" s="78">
        <v>0.08</v>
      </c>
      <c r="F82" s="170">
        <v>0.03</v>
      </c>
      <c r="G82" s="2">
        <f t="shared" ref="G82" si="382">D82*E82</f>
        <v>9.6048000000000009</v>
      </c>
      <c r="H82" s="79">
        <f t="shared" ref="H82" si="383">G82+D82</f>
        <v>129.66480000000001</v>
      </c>
      <c r="I82" s="9">
        <f t="shared" ref="I82" si="384">H82*0.21</f>
        <v>27.229608000000002</v>
      </c>
      <c r="J82" s="80">
        <f t="shared" ref="J82" si="385">H82+I82</f>
        <v>156.89440800000003</v>
      </c>
      <c r="L82" s="153">
        <f t="shared" ref="L82" si="386">D82*F82</f>
        <v>3.6017999999999999</v>
      </c>
      <c r="M82" s="79">
        <f t="shared" ref="M82" si="387">D82+L82</f>
        <v>123.6618</v>
      </c>
      <c r="N82" s="9">
        <f t="shared" ref="N82" si="388">M82*0.21</f>
        <v>25.968978</v>
      </c>
      <c r="O82" s="80">
        <f t="shared" ref="O82" si="389">M82+N82</f>
        <v>149.63077799999999</v>
      </c>
    </row>
    <row r="83" spans="1:15" x14ac:dyDescent="0.3">
      <c r="A83" s="74" t="s">
        <v>1163</v>
      </c>
      <c r="B83" s="75" t="s">
        <v>1255</v>
      </c>
      <c r="C83" s="76" t="s">
        <v>1655</v>
      </c>
      <c r="D83" s="77">
        <v>121.87</v>
      </c>
      <c r="E83" s="78">
        <v>0.08</v>
      </c>
      <c r="F83" s="170">
        <v>0.03</v>
      </c>
      <c r="G83" s="2">
        <f t="shared" ref="G83" si="390">D83*E83</f>
        <v>9.7496000000000009</v>
      </c>
      <c r="H83" s="79">
        <f t="shared" ref="H83" si="391">G83+D83</f>
        <v>131.61959999999999</v>
      </c>
      <c r="I83" s="9">
        <f t="shared" ref="I83" si="392">H83*0.21</f>
        <v>27.640115999999995</v>
      </c>
      <c r="J83" s="80">
        <f t="shared" ref="J83" si="393">H83+I83</f>
        <v>159.259716</v>
      </c>
      <c r="L83" s="153">
        <f t="shared" ref="L83" si="394">D83*F83</f>
        <v>3.6560999999999999</v>
      </c>
      <c r="M83" s="79">
        <f t="shared" ref="M83" si="395">D83+L83</f>
        <v>125.5261</v>
      </c>
      <c r="N83" s="9">
        <f t="shared" ref="N83" si="396">M83*0.21</f>
        <v>26.360481</v>
      </c>
      <c r="O83" s="80">
        <f t="shared" ref="O83" si="397">M83+N83</f>
        <v>151.88658100000001</v>
      </c>
    </row>
    <row r="84" spans="1:15" x14ac:dyDescent="0.3">
      <c r="A84" s="74" t="s">
        <v>1210</v>
      </c>
      <c r="B84" s="75" t="s">
        <v>1009</v>
      </c>
      <c r="C84" s="76" t="s">
        <v>1655</v>
      </c>
      <c r="D84" s="77">
        <v>123.68</v>
      </c>
      <c r="E84" s="78">
        <v>0.08</v>
      </c>
      <c r="F84" s="170">
        <v>0.03</v>
      </c>
      <c r="G84" s="2">
        <f t="shared" ref="G84" si="398">D84*E84</f>
        <v>9.894400000000001</v>
      </c>
      <c r="H84" s="79">
        <f t="shared" ref="H84" si="399">G84+D84</f>
        <v>133.5744</v>
      </c>
      <c r="I84" s="9">
        <f t="shared" ref="I84" si="400">H84*0.21</f>
        <v>28.050623999999999</v>
      </c>
      <c r="J84" s="80">
        <f t="shared" ref="J84" si="401">H84+I84</f>
        <v>161.625024</v>
      </c>
      <c r="L84" s="153">
        <f t="shared" ref="L84" si="402">D84*F84</f>
        <v>3.7103999999999999</v>
      </c>
      <c r="M84" s="79">
        <f t="shared" ref="M84" si="403">D84+L84</f>
        <v>127.3904</v>
      </c>
      <c r="N84" s="9">
        <f t="shared" ref="N84" si="404">M84*0.21</f>
        <v>26.751984</v>
      </c>
      <c r="O84" s="80">
        <f t="shared" ref="O84" si="405">M84+N84</f>
        <v>154.14238399999999</v>
      </c>
    </row>
    <row r="85" spans="1:15" x14ac:dyDescent="0.3">
      <c r="A85" s="74" t="s">
        <v>1252</v>
      </c>
      <c r="B85" s="75" t="s">
        <v>1027</v>
      </c>
      <c r="C85" s="76" t="s">
        <v>1655</v>
      </c>
      <c r="D85" s="77">
        <v>125.49</v>
      </c>
      <c r="E85" s="78">
        <v>0.08</v>
      </c>
      <c r="F85" s="170">
        <v>0.03</v>
      </c>
      <c r="G85" s="2">
        <f t="shared" ref="G85" si="406">D85*E85</f>
        <v>10.039199999999999</v>
      </c>
      <c r="H85" s="79">
        <f t="shared" ref="H85" si="407">G85+D85</f>
        <v>135.5292</v>
      </c>
      <c r="I85" s="9">
        <f t="shared" ref="I85" si="408">H85*0.21</f>
        <v>28.461131999999999</v>
      </c>
      <c r="J85" s="80">
        <f t="shared" ref="J85" si="409">H85+I85</f>
        <v>163.990332</v>
      </c>
      <c r="L85" s="153">
        <f t="shared" ref="L85" si="410">D85*F85</f>
        <v>3.7646999999999995</v>
      </c>
      <c r="M85" s="79">
        <f t="shared" ref="M85" si="411">D85+L85</f>
        <v>129.25469999999999</v>
      </c>
      <c r="N85" s="9">
        <f t="shared" ref="N85" si="412">M85*0.21</f>
        <v>27.143486999999997</v>
      </c>
      <c r="O85" s="80">
        <f t="shared" ref="O85" si="413">M85+N85</f>
        <v>156.39818699999998</v>
      </c>
    </row>
    <row r="86" spans="1:15" x14ac:dyDescent="0.3">
      <c r="A86" s="74" t="s">
        <v>1254</v>
      </c>
      <c r="B86" s="75" t="s">
        <v>1455</v>
      </c>
      <c r="C86" s="76" t="s">
        <v>1655</v>
      </c>
      <c r="D86" s="77">
        <v>127.3</v>
      </c>
      <c r="E86" s="78">
        <v>0.08</v>
      </c>
      <c r="F86" s="170">
        <v>0.03</v>
      </c>
      <c r="G86" s="2">
        <f t="shared" ref="G86" si="414">D86*E86</f>
        <v>10.183999999999999</v>
      </c>
      <c r="H86" s="79">
        <f t="shared" ref="H86" si="415">G86+D86</f>
        <v>137.48400000000001</v>
      </c>
      <c r="I86" s="9">
        <f t="shared" ref="I86" si="416">H86*0.21</f>
        <v>28.871639999999999</v>
      </c>
      <c r="J86" s="80">
        <f t="shared" ref="J86" si="417">H86+I86</f>
        <v>166.35563999999999</v>
      </c>
      <c r="L86" s="153">
        <f t="shared" ref="L86" si="418">D86*F86</f>
        <v>3.819</v>
      </c>
      <c r="M86" s="79">
        <f t="shared" ref="M86" si="419">D86+L86</f>
        <v>131.119</v>
      </c>
      <c r="N86" s="9">
        <f t="shared" ref="N86" si="420">M86*0.21</f>
        <v>27.534990000000001</v>
      </c>
      <c r="O86" s="80">
        <f t="shared" ref="O86" si="421">M86+N86</f>
        <v>158.65398999999999</v>
      </c>
    </row>
    <row r="87" spans="1:15" x14ac:dyDescent="0.3">
      <c r="A87" s="74" t="s">
        <v>1256</v>
      </c>
      <c r="B87" s="75" t="s">
        <v>1484</v>
      </c>
      <c r="C87" s="76" t="s">
        <v>1655</v>
      </c>
      <c r="D87" s="77">
        <v>129.11000000000001</v>
      </c>
      <c r="E87" s="78">
        <v>0.08</v>
      </c>
      <c r="F87" s="170">
        <v>0.03</v>
      </c>
      <c r="G87" s="2">
        <f t="shared" ref="G87" si="422">D87*E87</f>
        <v>10.328800000000001</v>
      </c>
      <c r="H87" s="79">
        <f t="shared" ref="H87" si="423">G87+D87</f>
        <v>139.43880000000001</v>
      </c>
      <c r="I87" s="9">
        <f t="shared" ref="I87" si="424">H87*0.21</f>
        <v>29.282148000000003</v>
      </c>
      <c r="J87" s="80">
        <f t="shared" ref="J87" si="425">H87+I87</f>
        <v>168.72094800000002</v>
      </c>
      <c r="L87" s="153">
        <f t="shared" ref="L87" si="426">D87*F87</f>
        <v>3.8733000000000004</v>
      </c>
      <c r="M87" s="79">
        <f t="shared" ref="M87" si="427">D87+L87</f>
        <v>132.98330000000001</v>
      </c>
      <c r="N87" s="9">
        <f t="shared" ref="N87" si="428">M87*0.21</f>
        <v>27.926493000000001</v>
      </c>
      <c r="O87" s="80">
        <f t="shared" ref="O87" si="429">M87+N87</f>
        <v>160.90979300000001</v>
      </c>
    </row>
    <row r="88" spans="1:15" x14ac:dyDescent="0.3">
      <c r="A88" s="74" t="s">
        <v>1295</v>
      </c>
      <c r="B88" s="75" t="s">
        <v>1485</v>
      </c>
      <c r="C88" s="76" t="s">
        <v>1655</v>
      </c>
      <c r="D88" s="77">
        <v>130.91999999999999</v>
      </c>
      <c r="E88" s="78">
        <v>0.08</v>
      </c>
      <c r="F88" s="170">
        <v>0.03</v>
      </c>
      <c r="G88" s="2">
        <f t="shared" ref="G88" si="430">D88*E88</f>
        <v>10.473599999999999</v>
      </c>
      <c r="H88" s="79">
        <f t="shared" ref="H88" si="431">G88+D88</f>
        <v>141.39359999999999</v>
      </c>
      <c r="I88" s="9">
        <f t="shared" ref="I88" si="432">H88*0.21</f>
        <v>29.692655999999996</v>
      </c>
      <c r="J88" s="80">
        <f t="shared" ref="J88" si="433">H88+I88</f>
        <v>171.08625599999999</v>
      </c>
      <c r="L88" s="153">
        <f t="shared" ref="L88" si="434">D88*F88</f>
        <v>3.9275999999999995</v>
      </c>
      <c r="M88" s="79">
        <f t="shared" ref="M88" si="435">D88+L88</f>
        <v>134.8476</v>
      </c>
      <c r="N88" s="9">
        <f t="shared" ref="N88" si="436">M88*0.21</f>
        <v>28.317995999999997</v>
      </c>
      <c r="O88" s="80">
        <f t="shared" ref="O88" si="437">M88+N88</f>
        <v>163.16559599999999</v>
      </c>
    </row>
    <row r="89" spans="1:15" x14ac:dyDescent="0.3">
      <c r="F89" s="1"/>
    </row>
    <row r="90" spans="1:15" x14ac:dyDescent="0.3">
      <c r="A90" s="81" t="s">
        <v>24</v>
      </c>
      <c r="B90" s="82" t="s">
        <v>23</v>
      </c>
      <c r="C90" s="83" t="s">
        <v>1655</v>
      </c>
      <c r="D90" s="84">
        <v>1.54</v>
      </c>
      <c r="E90" s="85">
        <v>0.1</v>
      </c>
      <c r="F90" s="171">
        <v>0.1</v>
      </c>
      <c r="G90" s="2">
        <f t="shared" ref="G90:G95" si="438">D90*E90</f>
        <v>0.15400000000000003</v>
      </c>
      <c r="H90" s="86">
        <f t="shared" ref="H90:H95" si="439">G90+D90</f>
        <v>1.694</v>
      </c>
      <c r="I90" s="9">
        <f t="shared" ref="I90:I95" si="440">H90*0.21</f>
        <v>0.35574</v>
      </c>
      <c r="J90" s="87">
        <f t="shared" ref="J90:J95" si="441">H90+I90</f>
        <v>2.0497399999999999</v>
      </c>
      <c r="L90" s="153">
        <f t="shared" ref="L90:L95" si="442">D90*F90</f>
        <v>0.15400000000000003</v>
      </c>
      <c r="M90" s="86">
        <f t="shared" ref="M90:M95" si="443">D90+L90</f>
        <v>1.694</v>
      </c>
      <c r="N90" s="9">
        <f t="shared" si="296"/>
        <v>0.35574</v>
      </c>
      <c r="O90" s="87">
        <f t="shared" si="297"/>
        <v>2.0497399999999999</v>
      </c>
    </row>
    <row r="91" spans="1:15" x14ac:dyDescent="0.3">
      <c r="A91" s="81" t="s">
        <v>181</v>
      </c>
      <c r="B91" s="82" t="s">
        <v>182</v>
      </c>
      <c r="C91" s="83" t="s">
        <v>1655</v>
      </c>
      <c r="D91" s="84">
        <v>1.5</v>
      </c>
      <c r="E91" s="85">
        <v>0.1</v>
      </c>
      <c r="F91" s="171">
        <v>0.1</v>
      </c>
      <c r="G91" s="2">
        <f t="shared" si="438"/>
        <v>0.15000000000000002</v>
      </c>
      <c r="H91" s="86">
        <f t="shared" si="439"/>
        <v>1.65</v>
      </c>
      <c r="I91" s="9">
        <f t="shared" si="440"/>
        <v>0.34649999999999997</v>
      </c>
      <c r="J91" s="87">
        <f t="shared" si="441"/>
        <v>1.9964999999999999</v>
      </c>
      <c r="L91" s="153">
        <f t="shared" si="442"/>
        <v>0.15000000000000002</v>
      </c>
      <c r="M91" s="86">
        <f t="shared" si="443"/>
        <v>1.65</v>
      </c>
      <c r="N91" s="9">
        <f t="shared" ref="N91" si="444">M91*0.21</f>
        <v>0.34649999999999997</v>
      </c>
      <c r="O91" s="87">
        <f t="shared" ref="O91" si="445">M91+N91</f>
        <v>1.9964999999999999</v>
      </c>
    </row>
    <row r="92" spans="1:15" x14ac:dyDescent="0.3">
      <c r="A92" s="81" t="s">
        <v>239</v>
      </c>
      <c r="B92" s="240" t="s">
        <v>240</v>
      </c>
      <c r="C92" s="83" t="s">
        <v>1655</v>
      </c>
      <c r="D92" s="84">
        <v>1.46</v>
      </c>
      <c r="E92" s="85">
        <v>0.1</v>
      </c>
      <c r="F92" s="171">
        <v>0.1</v>
      </c>
      <c r="G92" s="2">
        <f t="shared" si="438"/>
        <v>0.14599999999999999</v>
      </c>
      <c r="H92" s="86">
        <f t="shared" si="439"/>
        <v>1.6059999999999999</v>
      </c>
      <c r="I92" s="9">
        <f t="shared" si="440"/>
        <v>0.33725999999999995</v>
      </c>
      <c r="J92" s="87">
        <f t="shared" si="441"/>
        <v>1.9432599999999998</v>
      </c>
      <c r="L92" s="153">
        <f t="shared" si="442"/>
        <v>0.14599999999999999</v>
      </c>
      <c r="M92" s="86">
        <f t="shared" si="443"/>
        <v>1.6059999999999999</v>
      </c>
      <c r="N92" s="9">
        <f t="shared" ref="N92" si="446">M92*0.21</f>
        <v>0.33725999999999995</v>
      </c>
      <c r="O92" s="87">
        <f t="shared" ref="O92" si="447">M92+N92</f>
        <v>1.9432599999999998</v>
      </c>
    </row>
    <row r="93" spans="1:15" x14ac:dyDescent="0.3">
      <c r="A93" s="81" t="s">
        <v>608</v>
      </c>
      <c r="B93" s="240" t="s">
        <v>607</v>
      </c>
      <c r="C93" s="83" t="s">
        <v>1655</v>
      </c>
      <c r="D93" s="84">
        <v>1.42</v>
      </c>
      <c r="E93" s="85">
        <v>0.1</v>
      </c>
      <c r="F93" s="171">
        <v>0.1</v>
      </c>
      <c r="G93" s="2">
        <f t="shared" si="438"/>
        <v>0.14199999999999999</v>
      </c>
      <c r="H93" s="86">
        <f t="shared" si="439"/>
        <v>1.5619999999999998</v>
      </c>
      <c r="I93" s="9">
        <f t="shared" si="440"/>
        <v>0.32801999999999998</v>
      </c>
      <c r="J93" s="87">
        <f t="shared" si="441"/>
        <v>1.8900199999999998</v>
      </c>
      <c r="L93" s="153">
        <f t="shared" si="442"/>
        <v>0.14199999999999999</v>
      </c>
      <c r="M93" s="86">
        <f t="shared" si="443"/>
        <v>1.5619999999999998</v>
      </c>
      <c r="N93" s="9">
        <f t="shared" ref="N93" si="448">M93*0.21</f>
        <v>0.32801999999999998</v>
      </c>
      <c r="O93" s="87">
        <f t="shared" ref="O93" si="449">M93+N93</f>
        <v>1.8900199999999998</v>
      </c>
    </row>
    <row r="94" spans="1:15" x14ac:dyDescent="0.3">
      <c r="A94" s="81" t="s">
        <v>856</v>
      </c>
      <c r="B94" s="240" t="s">
        <v>857</v>
      </c>
      <c r="C94" s="83" t="s">
        <v>1655</v>
      </c>
      <c r="D94" s="84">
        <v>1.38</v>
      </c>
      <c r="E94" s="85">
        <v>0.1</v>
      </c>
      <c r="F94" s="171">
        <v>0.1</v>
      </c>
      <c r="G94" s="2">
        <f t="shared" si="438"/>
        <v>0.13799999999999998</v>
      </c>
      <c r="H94" s="86">
        <f t="shared" si="439"/>
        <v>1.5179999999999998</v>
      </c>
      <c r="I94" s="9">
        <f t="shared" si="440"/>
        <v>0.31877999999999995</v>
      </c>
      <c r="J94" s="87">
        <f t="shared" si="441"/>
        <v>1.8367799999999996</v>
      </c>
      <c r="L94" s="153">
        <f t="shared" si="442"/>
        <v>0.13799999999999998</v>
      </c>
      <c r="M94" s="86">
        <f t="shared" si="443"/>
        <v>1.5179999999999998</v>
      </c>
      <c r="N94" s="9">
        <f t="shared" ref="N94" si="450">M94*0.21</f>
        <v>0.31877999999999995</v>
      </c>
      <c r="O94" s="87">
        <f t="shared" ref="O94" si="451">M94+N94</f>
        <v>1.8367799999999996</v>
      </c>
    </row>
    <row r="95" spans="1:15" x14ac:dyDescent="0.3">
      <c r="A95" s="81" t="s">
        <v>858</v>
      </c>
      <c r="B95" s="240" t="s">
        <v>859</v>
      </c>
      <c r="C95" s="83" t="s">
        <v>1655</v>
      </c>
      <c r="D95" s="84">
        <v>1.34</v>
      </c>
      <c r="E95" s="85">
        <v>0.1</v>
      </c>
      <c r="F95" s="171">
        <v>0.1</v>
      </c>
      <c r="G95" s="2">
        <f t="shared" si="438"/>
        <v>0.13400000000000001</v>
      </c>
      <c r="H95" s="86">
        <f t="shared" si="439"/>
        <v>1.4740000000000002</v>
      </c>
      <c r="I95" s="9">
        <f t="shared" si="440"/>
        <v>0.30954000000000004</v>
      </c>
      <c r="J95" s="87">
        <f t="shared" si="441"/>
        <v>1.7835400000000003</v>
      </c>
      <c r="L95" s="153">
        <f t="shared" si="442"/>
        <v>0.13400000000000001</v>
      </c>
      <c r="M95" s="86">
        <f t="shared" si="443"/>
        <v>1.4740000000000002</v>
      </c>
      <c r="N95" s="9">
        <f t="shared" ref="N95" si="452">M95*0.21</f>
        <v>0.30954000000000004</v>
      </c>
      <c r="O95" s="87">
        <f t="shared" ref="O95" si="453">M95+N95</f>
        <v>1.7835400000000003</v>
      </c>
    </row>
    <row r="96" spans="1:15" x14ac:dyDescent="0.3">
      <c r="A96" s="81" t="s">
        <v>1132</v>
      </c>
      <c r="B96" s="240" t="s">
        <v>1133</v>
      </c>
      <c r="C96" s="83" t="s">
        <v>1655</v>
      </c>
      <c r="D96" s="84">
        <v>1.3</v>
      </c>
      <c r="E96" s="85">
        <v>0.1</v>
      </c>
      <c r="F96" s="171">
        <v>0.1</v>
      </c>
      <c r="G96" s="2">
        <f t="shared" ref="G96" si="454">D96*E96</f>
        <v>0.13</v>
      </c>
      <c r="H96" s="86">
        <f t="shared" ref="H96" si="455">G96+D96</f>
        <v>1.4300000000000002</v>
      </c>
      <c r="I96" s="9">
        <f t="shared" ref="I96" si="456">H96*0.21</f>
        <v>0.30030000000000001</v>
      </c>
      <c r="J96" s="87">
        <f t="shared" ref="J96" si="457">H96+I96</f>
        <v>1.7303000000000002</v>
      </c>
      <c r="L96" s="153">
        <f t="shared" ref="L96" si="458">D96*F96</f>
        <v>0.13</v>
      </c>
      <c r="M96" s="86">
        <f t="shared" ref="M96" si="459">D96+L96</f>
        <v>1.4300000000000002</v>
      </c>
      <c r="N96" s="9">
        <f t="shared" ref="N96" si="460">M96*0.21</f>
        <v>0.30030000000000001</v>
      </c>
      <c r="O96" s="87">
        <f t="shared" ref="O96" si="461">M96+N96</f>
        <v>1.7303000000000002</v>
      </c>
    </row>
    <row r="97" spans="1:15" x14ac:dyDescent="0.3">
      <c r="A97" s="81" t="s">
        <v>1396</v>
      </c>
      <c r="B97" s="240" t="s">
        <v>1397</v>
      </c>
      <c r="C97" s="83" t="s">
        <v>1655</v>
      </c>
      <c r="D97" s="84">
        <v>1.26</v>
      </c>
      <c r="E97" s="85">
        <v>0.1</v>
      </c>
      <c r="F97" s="171">
        <v>0.1</v>
      </c>
      <c r="G97" s="2">
        <f t="shared" ref="G97:G100" si="462">D97*E97</f>
        <v>0.126</v>
      </c>
      <c r="H97" s="86">
        <f t="shared" ref="H97:H100" si="463">G97+D97</f>
        <v>1.3860000000000001</v>
      </c>
      <c r="I97" s="9">
        <f t="shared" ref="I97:I100" si="464">H97*0.21</f>
        <v>0.29106000000000004</v>
      </c>
      <c r="J97" s="87">
        <f t="shared" ref="J97:J100" si="465">H97+I97</f>
        <v>1.6770600000000002</v>
      </c>
      <c r="L97" s="153">
        <f t="shared" ref="L97:L100" si="466">D97*F97</f>
        <v>0.126</v>
      </c>
      <c r="M97" s="86">
        <f t="shared" ref="M97:M100" si="467">D97+L97</f>
        <v>1.3860000000000001</v>
      </c>
      <c r="N97" s="9">
        <f t="shared" ref="N97:N100" si="468">M97*0.21</f>
        <v>0.29106000000000004</v>
      </c>
      <c r="O97" s="87">
        <f t="shared" ref="O97:O100" si="469">M97+N97</f>
        <v>1.6770600000000002</v>
      </c>
    </row>
    <row r="98" spans="1:15" x14ac:dyDescent="0.3">
      <c r="A98" s="81" t="s">
        <v>1550</v>
      </c>
      <c r="B98" s="82" t="s">
        <v>497</v>
      </c>
      <c r="C98" s="83" t="s">
        <v>1655</v>
      </c>
      <c r="D98" s="84">
        <v>1.22</v>
      </c>
      <c r="E98" s="85">
        <v>0.1</v>
      </c>
      <c r="F98" s="171">
        <v>0.1</v>
      </c>
      <c r="G98" s="2">
        <f t="shared" si="462"/>
        <v>0.122</v>
      </c>
      <c r="H98" s="86">
        <f t="shared" si="463"/>
        <v>1.3420000000000001</v>
      </c>
      <c r="I98" s="9">
        <f t="shared" si="464"/>
        <v>0.28182000000000001</v>
      </c>
      <c r="J98" s="87">
        <f t="shared" si="465"/>
        <v>1.62382</v>
      </c>
      <c r="L98" s="153">
        <f t="shared" si="466"/>
        <v>0.122</v>
      </c>
      <c r="M98" s="86">
        <f t="shared" si="467"/>
        <v>1.3420000000000001</v>
      </c>
      <c r="N98" s="9">
        <f t="shared" si="468"/>
        <v>0.28182000000000001</v>
      </c>
      <c r="O98" s="87">
        <f t="shared" si="469"/>
        <v>1.62382</v>
      </c>
    </row>
    <row r="99" spans="1:15" x14ac:dyDescent="0.3">
      <c r="A99" s="81" t="s">
        <v>1551</v>
      </c>
      <c r="B99" s="240" t="s">
        <v>522</v>
      </c>
      <c r="C99" s="83" t="s">
        <v>1655</v>
      </c>
      <c r="D99" s="84">
        <v>1.18</v>
      </c>
      <c r="E99" s="85">
        <v>0.1</v>
      </c>
      <c r="F99" s="171">
        <v>0.1</v>
      </c>
      <c r="G99" s="2">
        <f t="shared" si="462"/>
        <v>0.11799999999999999</v>
      </c>
      <c r="H99" s="86">
        <f t="shared" si="463"/>
        <v>1.298</v>
      </c>
      <c r="I99" s="9">
        <f t="shared" si="464"/>
        <v>0.27257999999999999</v>
      </c>
      <c r="J99" s="87">
        <f t="shared" si="465"/>
        <v>1.5705800000000001</v>
      </c>
      <c r="L99" s="153">
        <f t="shared" si="466"/>
        <v>0.11799999999999999</v>
      </c>
      <c r="M99" s="86">
        <f t="shared" si="467"/>
        <v>1.298</v>
      </c>
      <c r="N99" s="9">
        <f t="shared" si="468"/>
        <v>0.27257999999999999</v>
      </c>
      <c r="O99" s="87">
        <f t="shared" si="469"/>
        <v>1.5705800000000001</v>
      </c>
    </row>
    <row r="100" spans="1:15" x14ac:dyDescent="0.3">
      <c r="A100" s="81" t="s">
        <v>1552</v>
      </c>
      <c r="B100" s="82" t="s">
        <v>463</v>
      </c>
      <c r="C100" s="83" t="s">
        <v>1655</v>
      </c>
      <c r="D100" s="84">
        <v>1.1399999999999999</v>
      </c>
      <c r="E100" s="85">
        <v>0.1</v>
      </c>
      <c r="F100" s="171">
        <v>0.1</v>
      </c>
      <c r="G100" s="2">
        <f t="shared" si="462"/>
        <v>0.11399999999999999</v>
      </c>
      <c r="H100" s="86">
        <f t="shared" si="463"/>
        <v>1.254</v>
      </c>
      <c r="I100" s="9">
        <f t="shared" si="464"/>
        <v>0.26334000000000002</v>
      </c>
      <c r="J100" s="87">
        <f t="shared" si="465"/>
        <v>1.5173399999999999</v>
      </c>
      <c r="L100" s="153">
        <f t="shared" si="466"/>
        <v>0.11399999999999999</v>
      </c>
      <c r="M100" s="86">
        <f t="shared" si="467"/>
        <v>1.254</v>
      </c>
      <c r="N100" s="9">
        <f t="shared" si="468"/>
        <v>0.26334000000000002</v>
      </c>
      <c r="O100" s="87">
        <f t="shared" si="469"/>
        <v>1.5173399999999999</v>
      </c>
    </row>
    <row r="101" spans="1:15" x14ac:dyDescent="0.3">
      <c r="F101" s="1"/>
    </row>
    <row r="102" spans="1:15" x14ac:dyDescent="0.3">
      <c r="A102" s="94" t="s">
        <v>32</v>
      </c>
      <c r="B102" s="95" t="s">
        <v>33</v>
      </c>
      <c r="C102" s="96" t="s">
        <v>1655</v>
      </c>
      <c r="D102" s="97">
        <v>10.43</v>
      </c>
      <c r="E102" s="98">
        <v>0.8</v>
      </c>
      <c r="F102" s="172">
        <v>0.5</v>
      </c>
      <c r="G102" s="2">
        <f t="shared" ref="G102:G107" si="470">D102*E102</f>
        <v>8.3439999999999994</v>
      </c>
      <c r="H102" s="99">
        <f t="shared" ref="H102:H107" si="471">G102+D102</f>
        <v>18.774000000000001</v>
      </c>
      <c r="I102" s="9">
        <f t="shared" ref="I102:I107" si="472">H102*0.21</f>
        <v>3.9425400000000002</v>
      </c>
      <c r="J102" s="100">
        <f t="shared" ref="J102:J107" si="473">H102+I102</f>
        <v>22.716540000000002</v>
      </c>
      <c r="L102" s="153">
        <f>D102*F102</f>
        <v>5.2149999999999999</v>
      </c>
      <c r="M102" s="99">
        <f>D102+L102</f>
        <v>15.645</v>
      </c>
      <c r="N102" s="9">
        <f t="shared" si="296"/>
        <v>3.28545</v>
      </c>
      <c r="O102" s="100">
        <f t="shared" si="297"/>
        <v>18.93045</v>
      </c>
    </row>
    <row r="103" spans="1:15" x14ac:dyDescent="0.3">
      <c r="A103" s="94" t="s">
        <v>36</v>
      </c>
      <c r="B103" s="95" t="s">
        <v>37</v>
      </c>
      <c r="C103" s="96" t="s">
        <v>1655</v>
      </c>
      <c r="D103" s="97">
        <v>11.45</v>
      </c>
      <c r="E103" s="98">
        <v>0.8</v>
      </c>
      <c r="F103" s="172">
        <v>0.5</v>
      </c>
      <c r="G103" s="2">
        <f t="shared" si="470"/>
        <v>9.16</v>
      </c>
      <c r="H103" s="99">
        <f t="shared" si="471"/>
        <v>20.61</v>
      </c>
      <c r="I103" s="9">
        <f t="shared" si="472"/>
        <v>4.3281000000000001</v>
      </c>
      <c r="J103" s="100">
        <f t="shared" si="473"/>
        <v>24.938099999999999</v>
      </c>
      <c r="L103" s="153">
        <f t="shared" ref="L103:L106" si="474">D103*F103</f>
        <v>5.7249999999999996</v>
      </c>
      <c r="M103" s="99">
        <f t="shared" ref="M103:M106" si="475">D103+L103</f>
        <v>17.174999999999997</v>
      </c>
      <c r="N103" s="9">
        <f t="shared" si="296"/>
        <v>3.6067499999999995</v>
      </c>
      <c r="O103" s="100">
        <f t="shared" si="297"/>
        <v>20.781749999999995</v>
      </c>
    </row>
    <row r="104" spans="1:15" x14ac:dyDescent="0.3">
      <c r="A104" s="94" t="s">
        <v>82</v>
      </c>
      <c r="B104" s="95" t="s">
        <v>83</v>
      </c>
      <c r="C104" s="96" t="s">
        <v>1655</v>
      </c>
      <c r="D104" s="97">
        <v>12.47</v>
      </c>
      <c r="E104" s="98">
        <v>0.8</v>
      </c>
      <c r="F104" s="172">
        <v>0.5</v>
      </c>
      <c r="G104" s="2">
        <f t="shared" si="470"/>
        <v>9.9760000000000009</v>
      </c>
      <c r="H104" s="99">
        <f t="shared" si="471"/>
        <v>22.446000000000002</v>
      </c>
      <c r="I104" s="9">
        <f t="shared" si="472"/>
        <v>4.71366</v>
      </c>
      <c r="J104" s="100">
        <f t="shared" si="473"/>
        <v>27.159660000000002</v>
      </c>
      <c r="L104" s="153">
        <f t="shared" si="474"/>
        <v>6.2350000000000003</v>
      </c>
      <c r="M104" s="99">
        <f t="shared" si="475"/>
        <v>18.705000000000002</v>
      </c>
      <c r="N104" s="9">
        <f t="shared" si="296"/>
        <v>3.9280500000000003</v>
      </c>
      <c r="O104" s="100">
        <f t="shared" si="297"/>
        <v>22.633050000000001</v>
      </c>
    </row>
    <row r="105" spans="1:15" x14ac:dyDescent="0.3">
      <c r="A105" s="94" t="s">
        <v>84</v>
      </c>
      <c r="B105" s="95" t="s">
        <v>85</v>
      </c>
      <c r="C105" s="96" t="s">
        <v>1655</v>
      </c>
      <c r="D105" s="97">
        <v>13.49</v>
      </c>
      <c r="E105" s="98">
        <v>0.8</v>
      </c>
      <c r="F105" s="172">
        <v>0.5</v>
      </c>
      <c r="G105" s="2">
        <f t="shared" si="470"/>
        <v>10.792000000000002</v>
      </c>
      <c r="H105" s="99">
        <f t="shared" si="471"/>
        <v>24.282000000000004</v>
      </c>
      <c r="I105" s="9">
        <f t="shared" si="472"/>
        <v>5.0992200000000008</v>
      </c>
      <c r="J105" s="100">
        <f t="shared" si="473"/>
        <v>29.381220000000006</v>
      </c>
      <c r="L105" s="153">
        <f t="shared" si="474"/>
        <v>6.7450000000000001</v>
      </c>
      <c r="M105" s="99">
        <f t="shared" si="475"/>
        <v>20.234999999999999</v>
      </c>
      <c r="N105" s="9">
        <f t="shared" si="296"/>
        <v>4.2493499999999997</v>
      </c>
      <c r="O105" s="100">
        <f t="shared" si="297"/>
        <v>24.484349999999999</v>
      </c>
    </row>
    <row r="106" spans="1:15" x14ac:dyDescent="0.3">
      <c r="A106" s="94" t="s">
        <v>97</v>
      </c>
      <c r="B106" s="95" t="s">
        <v>98</v>
      </c>
      <c r="C106" s="96" t="s">
        <v>1655</v>
      </c>
      <c r="D106" s="97">
        <v>14.51</v>
      </c>
      <c r="E106" s="98">
        <v>0.8</v>
      </c>
      <c r="F106" s="172">
        <v>0.5</v>
      </c>
      <c r="G106" s="2">
        <f t="shared" si="470"/>
        <v>11.608000000000001</v>
      </c>
      <c r="H106" s="99">
        <f t="shared" si="471"/>
        <v>26.118000000000002</v>
      </c>
      <c r="I106" s="9">
        <f t="shared" si="472"/>
        <v>5.4847800000000007</v>
      </c>
      <c r="J106" s="100">
        <f t="shared" si="473"/>
        <v>31.602780000000003</v>
      </c>
      <c r="L106" s="153">
        <f t="shared" si="474"/>
        <v>7.2549999999999999</v>
      </c>
      <c r="M106" s="99">
        <f t="shared" si="475"/>
        <v>21.765000000000001</v>
      </c>
      <c r="N106" s="9">
        <f t="shared" si="296"/>
        <v>4.5706499999999997</v>
      </c>
      <c r="O106" s="100">
        <f t="shared" si="297"/>
        <v>26.335650000000001</v>
      </c>
    </row>
    <row r="107" spans="1:15" x14ac:dyDescent="0.3">
      <c r="A107" s="94" t="s">
        <v>237</v>
      </c>
      <c r="B107" s="95" t="s">
        <v>238</v>
      </c>
      <c r="C107" s="96" t="s">
        <v>1655</v>
      </c>
      <c r="D107" s="97">
        <v>15.53</v>
      </c>
      <c r="E107" s="98">
        <v>0.8</v>
      </c>
      <c r="F107" s="172">
        <v>0.5</v>
      </c>
      <c r="G107" s="2">
        <f t="shared" si="470"/>
        <v>12.423999999999999</v>
      </c>
      <c r="H107" s="99">
        <f t="shared" si="471"/>
        <v>27.954000000000001</v>
      </c>
      <c r="I107" s="9">
        <f t="shared" si="472"/>
        <v>5.8703399999999997</v>
      </c>
      <c r="J107" s="100">
        <f t="shared" si="473"/>
        <v>33.824339999999999</v>
      </c>
      <c r="L107" s="153">
        <f t="shared" ref="L107" si="476">D107*F107</f>
        <v>7.7649999999999997</v>
      </c>
      <c r="M107" s="99">
        <f t="shared" ref="M107" si="477">D107+L107</f>
        <v>23.294999999999998</v>
      </c>
      <c r="N107" s="9">
        <f t="shared" ref="N107" si="478">M107*0.21</f>
        <v>4.8919499999999996</v>
      </c>
      <c r="O107" s="100">
        <f t="shared" ref="O107" si="479">M107+N107</f>
        <v>28.186949999999996</v>
      </c>
    </row>
    <row r="108" spans="1:15" x14ac:dyDescent="0.3">
      <c r="A108" s="94" t="s">
        <v>311</v>
      </c>
      <c r="B108" s="95" t="s">
        <v>312</v>
      </c>
      <c r="C108" s="96" t="s">
        <v>1655</v>
      </c>
      <c r="D108" s="97">
        <v>16.55</v>
      </c>
      <c r="E108" s="98">
        <v>0.8</v>
      </c>
      <c r="F108" s="172">
        <v>0.5</v>
      </c>
      <c r="G108" s="2">
        <f t="shared" ref="G108" si="480">D108*E108</f>
        <v>13.240000000000002</v>
      </c>
      <c r="H108" s="99">
        <f t="shared" ref="H108" si="481">G108+D108</f>
        <v>29.790000000000003</v>
      </c>
      <c r="I108" s="9">
        <f t="shared" ref="I108" si="482">H108*0.21</f>
        <v>6.2559000000000005</v>
      </c>
      <c r="J108" s="100">
        <f t="shared" ref="J108" si="483">H108+I108</f>
        <v>36.045900000000003</v>
      </c>
      <c r="L108" s="153">
        <f t="shared" ref="L108" si="484">D108*F108</f>
        <v>8.2750000000000004</v>
      </c>
      <c r="M108" s="99">
        <f t="shared" ref="M108" si="485">D108+L108</f>
        <v>24.825000000000003</v>
      </c>
      <c r="N108" s="9">
        <f t="shared" ref="N108" si="486">M108*0.21</f>
        <v>5.2132500000000004</v>
      </c>
      <c r="O108" s="100">
        <f t="shared" ref="O108" si="487">M108+N108</f>
        <v>30.038250000000005</v>
      </c>
    </row>
    <row r="109" spans="1:15" x14ac:dyDescent="0.3">
      <c r="A109" s="94" t="s">
        <v>394</v>
      </c>
      <c r="B109" s="95" t="s">
        <v>395</v>
      </c>
      <c r="C109" s="96" t="s">
        <v>1655</v>
      </c>
      <c r="D109" s="97">
        <v>17.57</v>
      </c>
      <c r="E109" s="98">
        <v>0.8</v>
      </c>
      <c r="F109" s="172">
        <v>0.5</v>
      </c>
      <c r="G109" s="2">
        <f t="shared" ref="G109" si="488">D109*E109</f>
        <v>14.056000000000001</v>
      </c>
      <c r="H109" s="99">
        <f t="shared" ref="H109" si="489">G109+D109</f>
        <v>31.626000000000001</v>
      </c>
      <c r="I109" s="9">
        <f t="shared" ref="I109" si="490">H109*0.21</f>
        <v>6.6414600000000004</v>
      </c>
      <c r="J109" s="100">
        <f t="shared" ref="J109" si="491">H109+I109</f>
        <v>38.26746</v>
      </c>
      <c r="L109" s="153">
        <f t="shared" ref="L109" si="492">D109*F109</f>
        <v>8.7850000000000001</v>
      </c>
      <c r="M109" s="99">
        <f t="shared" ref="M109" si="493">D109+L109</f>
        <v>26.355</v>
      </c>
      <c r="N109" s="9">
        <f t="shared" ref="N109" si="494">M109*0.21</f>
        <v>5.5345500000000003</v>
      </c>
      <c r="O109" s="100">
        <f t="shared" ref="O109" si="495">M109+N109</f>
        <v>31.88955</v>
      </c>
    </row>
    <row r="110" spans="1:15" x14ac:dyDescent="0.3">
      <c r="A110" s="94" t="s">
        <v>983</v>
      </c>
      <c r="B110" s="95" t="s">
        <v>984</v>
      </c>
      <c r="C110" s="96" t="s">
        <v>1655</v>
      </c>
      <c r="D110" s="97">
        <v>18.59</v>
      </c>
      <c r="E110" s="98">
        <v>0.8</v>
      </c>
      <c r="F110" s="172">
        <v>0.5</v>
      </c>
      <c r="G110" s="2">
        <f t="shared" ref="G110" si="496">D110*E110</f>
        <v>14.872</v>
      </c>
      <c r="H110" s="99">
        <f t="shared" ref="H110" si="497">G110+D110</f>
        <v>33.462000000000003</v>
      </c>
      <c r="I110" s="9">
        <f t="shared" ref="I110" si="498">H110*0.21</f>
        <v>7.0270200000000003</v>
      </c>
      <c r="J110" s="100">
        <f t="shared" ref="J110" si="499">H110+I110</f>
        <v>40.489020000000004</v>
      </c>
      <c r="L110" s="153">
        <f t="shared" ref="L110" si="500">D110*F110</f>
        <v>9.2949999999999999</v>
      </c>
      <c r="M110" s="99">
        <f t="shared" ref="M110" si="501">D110+L110</f>
        <v>27.884999999999998</v>
      </c>
      <c r="N110" s="9">
        <f t="shared" ref="N110" si="502">M110*0.21</f>
        <v>5.8558499999999993</v>
      </c>
      <c r="O110" s="100">
        <f t="shared" ref="O110" si="503">M110+N110</f>
        <v>33.740849999999995</v>
      </c>
    </row>
    <row r="111" spans="1:15" x14ac:dyDescent="0.3">
      <c r="A111" s="94" t="s">
        <v>985</v>
      </c>
      <c r="B111" s="95" t="s">
        <v>888</v>
      </c>
      <c r="C111" s="96" t="s">
        <v>1655</v>
      </c>
      <c r="D111" s="97">
        <v>19.61</v>
      </c>
      <c r="E111" s="98">
        <v>0.8</v>
      </c>
      <c r="F111" s="172">
        <v>0.5</v>
      </c>
      <c r="G111" s="2">
        <f t="shared" ref="G111" si="504">D111*E111</f>
        <v>15.688000000000001</v>
      </c>
      <c r="H111" s="99">
        <f t="shared" ref="H111" si="505">G111+D111</f>
        <v>35.298000000000002</v>
      </c>
      <c r="I111" s="9">
        <f t="shared" ref="I111" si="506">H111*0.21</f>
        <v>7.4125800000000002</v>
      </c>
      <c r="J111" s="100">
        <f t="shared" ref="J111" si="507">H111+I111</f>
        <v>42.71058</v>
      </c>
      <c r="L111" s="153">
        <f t="shared" ref="L111" si="508">D111*F111</f>
        <v>9.8049999999999997</v>
      </c>
      <c r="M111" s="99">
        <f t="shared" ref="M111" si="509">D111+L111</f>
        <v>29.414999999999999</v>
      </c>
      <c r="N111" s="9">
        <f t="shared" ref="N111" si="510">M111*0.21</f>
        <v>6.1771499999999993</v>
      </c>
      <c r="O111" s="100">
        <f t="shared" ref="O111" si="511">M111+N111</f>
        <v>35.592149999999997</v>
      </c>
    </row>
    <row r="112" spans="1:15" x14ac:dyDescent="0.3">
      <c r="A112" s="94" t="s">
        <v>1325</v>
      </c>
      <c r="B112" s="95" t="s">
        <v>1326</v>
      </c>
      <c r="C112" s="96" t="s">
        <v>1655</v>
      </c>
      <c r="D112" s="97">
        <v>20.63</v>
      </c>
      <c r="E112" s="98">
        <v>0.8</v>
      </c>
      <c r="F112" s="172">
        <v>0.5</v>
      </c>
      <c r="G112" s="2">
        <f t="shared" ref="G112" si="512">D112*E112</f>
        <v>16.504000000000001</v>
      </c>
      <c r="H112" s="99">
        <f t="shared" ref="H112" si="513">G112+D112</f>
        <v>37.134</v>
      </c>
      <c r="I112" s="9">
        <f t="shared" ref="I112" si="514">H112*0.21</f>
        <v>7.7981400000000001</v>
      </c>
      <c r="J112" s="100">
        <f t="shared" ref="J112" si="515">H112+I112</f>
        <v>44.932140000000004</v>
      </c>
      <c r="L112" s="153">
        <f t="shared" ref="L112" si="516">D112*F112</f>
        <v>10.315</v>
      </c>
      <c r="M112" s="99">
        <f t="shared" ref="M112" si="517">D112+L112</f>
        <v>30.945</v>
      </c>
      <c r="N112" s="9">
        <f t="shared" ref="N112" si="518">M112*0.21</f>
        <v>6.4984500000000001</v>
      </c>
      <c r="O112" s="100">
        <f t="shared" ref="O112" si="519">M112+N112</f>
        <v>37.443449999999999</v>
      </c>
    </row>
    <row r="113" spans="1:15" x14ac:dyDescent="0.3">
      <c r="F113" s="1"/>
    </row>
    <row r="114" spans="1:15" x14ac:dyDescent="0.3">
      <c r="A114" s="140" t="s">
        <v>91</v>
      </c>
      <c r="B114" s="141" t="s">
        <v>92</v>
      </c>
      <c r="C114" s="142" t="s">
        <v>1655</v>
      </c>
      <c r="D114" s="143">
        <v>55</v>
      </c>
      <c r="E114" s="144">
        <v>0.1</v>
      </c>
      <c r="F114" s="442">
        <v>0.12</v>
      </c>
      <c r="G114" s="2">
        <f t="shared" ref="G114:G119" si="520">D114*E114</f>
        <v>5.5</v>
      </c>
      <c r="H114" s="145">
        <f t="shared" ref="H114:H119" si="521">G114+D114</f>
        <v>60.5</v>
      </c>
      <c r="I114" s="9">
        <f t="shared" ref="I114:I119" si="522">H114*0.21</f>
        <v>12.705</v>
      </c>
      <c r="J114" s="146">
        <f t="shared" ref="J114:J119" si="523">H114+I114</f>
        <v>73.204999999999998</v>
      </c>
      <c r="L114" s="153">
        <f>D114*F114</f>
        <v>6.6</v>
      </c>
      <c r="M114" s="145">
        <f>D114+L114</f>
        <v>61.6</v>
      </c>
      <c r="N114" s="9">
        <f t="shared" si="296"/>
        <v>12.936</v>
      </c>
      <c r="O114" s="146">
        <f t="shared" si="297"/>
        <v>74.536000000000001</v>
      </c>
    </row>
    <row r="115" spans="1:15" x14ac:dyDescent="0.3">
      <c r="A115" s="140" t="s">
        <v>93</v>
      </c>
      <c r="B115" s="141" t="s">
        <v>94</v>
      </c>
      <c r="C115" s="142" t="s">
        <v>1655</v>
      </c>
      <c r="D115" s="143">
        <v>52</v>
      </c>
      <c r="E115" s="144">
        <v>0.13</v>
      </c>
      <c r="F115" s="442">
        <v>0.15</v>
      </c>
      <c r="G115" s="2">
        <f t="shared" si="520"/>
        <v>6.76</v>
      </c>
      <c r="H115" s="145">
        <f t="shared" si="521"/>
        <v>58.76</v>
      </c>
      <c r="I115" s="9">
        <f t="shared" si="522"/>
        <v>12.339599999999999</v>
      </c>
      <c r="J115" s="146">
        <f t="shared" si="523"/>
        <v>71.099599999999995</v>
      </c>
      <c r="L115" s="153">
        <f t="shared" ref="L115:L116" si="524">D115*F115</f>
        <v>7.8</v>
      </c>
      <c r="M115" s="145">
        <f t="shared" ref="M115:M116" si="525">D115+L115</f>
        <v>59.8</v>
      </c>
      <c r="N115" s="9">
        <f t="shared" si="296"/>
        <v>12.557999999999998</v>
      </c>
      <c r="O115" s="146">
        <f t="shared" si="297"/>
        <v>72.35799999999999</v>
      </c>
    </row>
    <row r="116" spans="1:15" x14ac:dyDescent="0.3">
      <c r="A116" s="140" t="s">
        <v>95</v>
      </c>
      <c r="B116" s="141" t="s">
        <v>96</v>
      </c>
      <c r="C116" s="142" t="s">
        <v>1655</v>
      </c>
      <c r="D116" s="143">
        <v>49</v>
      </c>
      <c r="E116" s="144">
        <v>0.16</v>
      </c>
      <c r="F116" s="442">
        <v>0.18</v>
      </c>
      <c r="G116" s="2">
        <f t="shared" si="520"/>
        <v>7.84</v>
      </c>
      <c r="H116" s="145">
        <f t="shared" si="521"/>
        <v>56.84</v>
      </c>
      <c r="I116" s="9">
        <f t="shared" si="522"/>
        <v>11.936400000000001</v>
      </c>
      <c r="J116" s="146">
        <f t="shared" si="523"/>
        <v>68.77640000000001</v>
      </c>
      <c r="L116" s="153">
        <f t="shared" si="524"/>
        <v>8.82</v>
      </c>
      <c r="M116" s="145">
        <f t="shared" si="525"/>
        <v>57.82</v>
      </c>
      <c r="N116" s="9">
        <f t="shared" si="296"/>
        <v>12.142199999999999</v>
      </c>
      <c r="O116" s="146">
        <f t="shared" si="297"/>
        <v>69.962199999999996</v>
      </c>
    </row>
    <row r="117" spans="1:15" x14ac:dyDescent="0.3">
      <c r="A117" s="140" t="s">
        <v>105</v>
      </c>
      <c r="B117" s="141" t="s">
        <v>119</v>
      </c>
      <c r="C117" s="142" t="s">
        <v>1655</v>
      </c>
      <c r="D117" s="143">
        <v>46</v>
      </c>
      <c r="E117" s="144">
        <v>0.19</v>
      </c>
      <c r="F117" s="442">
        <v>0.21</v>
      </c>
      <c r="G117" s="2">
        <f t="shared" si="520"/>
        <v>8.74</v>
      </c>
      <c r="H117" s="145">
        <f t="shared" si="521"/>
        <v>54.74</v>
      </c>
      <c r="I117" s="9">
        <f t="shared" si="522"/>
        <v>11.4954</v>
      </c>
      <c r="J117" s="146">
        <f t="shared" si="523"/>
        <v>66.235399999999998</v>
      </c>
      <c r="L117" s="153">
        <f t="shared" ref="L117" si="526">D117*F117</f>
        <v>9.66</v>
      </c>
      <c r="M117" s="145">
        <f t="shared" ref="M117" si="527">D117+L117</f>
        <v>55.66</v>
      </c>
      <c r="N117" s="9">
        <f t="shared" si="296"/>
        <v>11.688599999999999</v>
      </c>
      <c r="O117" s="146">
        <f t="shared" ref="O117" si="528">M117+N117</f>
        <v>67.34859999999999</v>
      </c>
    </row>
    <row r="118" spans="1:15" x14ac:dyDescent="0.3">
      <c r="A118" s="140" t="s">
        <v>129</v>
      </c>
      <c r="B118" s="141" t="s">
        <v>130</v>
      </c>
      <c r="C118" s="142" t="s">
        <v>1655</v>
      </c>
      <c r="D118" s="143">
        <v>43</v>
      </c>
      <c r="E118" s="144">
        <v>0.22</v>
      </c>
      <c r="F118" s="442">
        <v>0.24</v>
      </c>
      <c r="G118" s="2">
        <f t="shared" si="520"/>
        <v>9.4600000000000009</v>
      </c>
      <c r="H118" s="145">
        <f t="shared" si="521"/>
        <v>52.46</v>
      </c>
      <c r="I118" s="9">
        <f t="shared" si="522"/>
        <v>11.0166</v>
      </c>
      <c r="J118" s="146">
        <f t="shared" si="523"/>
        <v>63.476600000000005</v>
      </c>
      <c r="L118" s="153">
        <f t="shared" ref="L118" si="529">D118*F118</f>
        <v>10.32</v>
      </c>
      <c r="M118" s="145">
        <f t="shared" ref="M118" si="530">D118+L118</f>
        <v>53.32</v>
      </c>
      <c r="N118" s="9">
        <f t="shared" ref="N118" si="531">M118*0.21</f>
        <v>11.1972</v>
      </c>
      <c r="O118" s="146">
        <f t="shared" ref="O118" si="532">M118+N118</f>
        <v>64.517200000000003</v>
      </c>
    </row>
    <row r="119" spans="1:15" x14ac:dyDescent="0.3">
      <c r="A119" s="140" t="s">
        <v>131</v>
      </c>
      <c r="B119" s="141" t="s">
        <v>132</v>
      </c>
      <c r="C119" s="142" t="s">
        <v>1655</v>
      </c>
      <c r="D119" s="143">
        <v>40</v>
      </c>
      <c r="E119" s="144">
        <v>0.25</v>
      </c>
      <c r="F119" s="442">
        <v>0.27</v>
      </c>
      <c r="G119" s="2">
        <f t="shared" si="520"/>
        <v>10</v>
      </c>
      <c r="H119" s="145">
        <f t="shared" si="521"/>
        <v>50</v>
      </c>
      <c r="I119" s="9">
        <f t="shared" si="522"/>
        <v>10.5</v>
      </c>
      <c r="J119" s="146">
        <f t="shared" si="523"/>
        <v>60.5</v>
      </c>
      <c r="L119" s="153">
        <f t="shared" ref="L119" si="533">D119*F119</f>
        <v>10.8</v>
      </c>
      <c r="M119" s="145">
        <f t="shared" ref="M119" si="534">D119+L119</f>
        <v>50.8</v>
      </c>
      <c r="N119" s="9">
        <f t="shared" ref="N119" si="535">M119*0.21</f>
        <v>10.667999999999999</v>
      </c>
      <c r="O119" s="146">
        <f t="shared" ref="O119" si="536">M119+N119</f>
        <v>61.467999999999996</v>
      </c>
    </row>
    <row r="120" spans="1:15" x14ac:dyDescent="0.3">
      <c r="A120" s="140" t="s">
        <v>313</v>
      </c>
      <c r="B120" s="141" t="s">
        <v>314</v>
      </c>
      <c r="C120" s="142" t="s">
        <v>1655</v>
      </c>
      <c r="D120" s="143">
        <v>37</v>
      </c>
      <c r="E120" s="144">
        <v>0.28000000000000003</v>
      </c>
      <c r="F120" s="442">
        <v>0.3</v>
      </c>
      <c r="G120" s="2">
        <f t="shared" ref="G120" si="537">D120*E120</f>
        <v>10.360000000000001</v>
      </c>
      <c r="H120" s="145">
        <f t="shared" ref="H120" si="538">G120+D120</f>
        <v>47.36</v>
      </c>
      <c r="I120" s="9">
        <f t="shared" ref="I120" si="539">H120*0.21</f>
        <v>9.9455999999999989</v>
      </c>
      <c r="J120" s="146">
        <f t="shared" ref="J120" si="540">H120+I120</f>
        <v>57.305599999999998</v>
      </c>
      <c r="L120" s="153">
        <f t="shared" ref="L120" si="541">D120*F120</f>
        <v>11.1</v>
      </c>
      <c r="M120" s="145">
        <f t="shared" ref="M120" si="542">D120+L120</f>
        <v>48.1</v>
      </c>
      <c r="N120" s="9">
        <f t="shared" ref="N120" si="543">M120*0.21</f>
        <v>10.100999999999999</v>
      </c>
      <c r="O120" s="146">
        <f t="shared" ref="O120" si="544">M120+N120</f>
        <v>58.201000000000001</v>
      </c>
    </row>
    <row r="121" spans="1:15" x14ac:dyDescent="0.3">
      <c r="A121" s="140" t="s">
        <v>315</v>
      </c>
      <c r="B121" s="141" t="s">
        <v>316</v>
      </c>
      <c r="C121" s="142" t="s">
        <v>1655</v>
      </c>
      <c r="D121" s="143">
        <v>34</v>
      </c>
      <c r="E121" s="144">
        <v>0.31</v>
      </c>
      <c r="F121" s="442">
        <v>0.33</v>
      </c>
      <c r="G121" s="2">
        <f t="shared" ref="G121" si="545">D121*E121</f>
        <v>10.54</v>
      </c>
      <c r="H121" s="145">
        <f t="shared" ref="H121" si="546">G121+D121</f>
        <v>44.54</v>
      </c>
      <c r="I121" s="9">
        <f t="shared" ref="I121" si="547">H121*0.21</f>
        <v>9.3533999999999988</v>
      </c>
      <c r="J121" s="146">
        <f t="shared" ref="J121" si="548">H121+I121</f>
        <v>53.8934</v>
      </c>
      <c r="L121" s="153">
        <f t="shared" ref="L121" si="549">D121*F121</f>
        <v>11.22</v>
      </c>
      <c r="M121" s="145">
        <f t="shared" ref="M121" si="550">D121+L121</f>
        <v>45.22</v>
      </c>
      <c r="N121" s="9">
        <f t="shared" ref="N121" si="551">M121*0.21</f>
        <v>9.4962</v>
      </c>
      <c r="O121" s="146">
        <f t="shared" ref="O121" si="552">M121+N121</f>
        <v>54.716200000000001</v>
      </c>
    </row>
    <row r="122" spans="1:15" x14ac:dyDescent="0.3">
      <c r="A122" s="140" t="s">
        <v>491</v>
      </c>
      <c r="B122" s="141" t="s">
        <v>492</v>
      </c>
      <c r="C122" s="142" t="s">
        <v>1655</v>
      </c>
      <c r="D122" s="143">
        <v>31</v>
      </c>
      <c r="E122" s="144">
        <v>0.34</v>
      </c>
      <c r="F122" s="442">
        <v>0.36</v>
      </c>
      <c r="G122" s="2">
        <f t="shared" ref="G122" si="553">D122*E122</f>
        <v>10.540000000000001</v>
      </c>
      <c r="H122" s="145">
        <f t="shared" ref="H122" si="554">G122+D122</f>
        <v>41.54</v>
      </c>
      <c r="I122" s="9">
        <f t="shared" ref="I122" si="555">H122*0.21</f>
        <v>8.7233999999999998</v>
      </c>
      <c r="J122" s="146">
        <f t="shared" ref="J122" si="556">H122+I122</f>
        <v>50.263399999999997</v>
      </c>
      <c r="L122" s="153">
        <f t="shared" ref="L122" si="557">D122*F122</f>
        <v>11.16</v>
      </c>
      <c r="M122" s="145">
        <f t="shared" ref="M122" si="558">D122+L122</f>
        <v>42.16</v>
      </c>
      <c r="N122" s="9">
        <f t="shared" ref="N122" si="559">M122*0.21</f>
        <v>8.8535999999999984</v>
      </c>
      <c r="O122" s="146">
        <f t="shared" ref="O122" si="560">M122+N122</f>
        <v>51.013599999999997</v>
      </c>
    </row>
    <row r="123" spans="1:15" x14ac:dyDescent="0.3">
      <c r="A123" s="140" t="s">
        <v>533</v>
      </c>
      <c r="B123" s="141" t="s">
        <v>534</v>
      </c>
      <c r="C123" s="142" t="s">
        <v>1655</v>
      </c>
      <c r="D123" s="143">
        <v>28</v>
      </c>
      <c r="E123" s="144">
        <v>0.37</v>
      </c>
      <c r="F123" s="442">
        <v>0.39</v>
      </c>
      <c r="G123" s="2">
        <f t="shared" ref="G123" si="561">D123*E123</f>
        <v>10.36</v>
      </c>
      <c r="H123" s="145">
        <f t="shared" ref="H123" si="562">G123+D123</f>
        <v>38.36</v>
      </c>
      <c r="I123" s="9">
        <f t="shared" ref="I123" si="563">H123*0.21</f>
        <v>8.0556000000000001</v>
      </c>
      <c r="J123" s="146">
        <f t="shared" ref="J123" si="564">H123+I123</f>
        <v>46.415599999999998</v>
      </c>
      <c r="L123" s="153">
        <f t="shared" ref="L123" si="565">D123*F123</f>
        <v>10.92</v>
      </c>
      <c r="M123" s="145">
        <f t="shared" ref="M123" si="566">D123+L123</f>
        <v>38.92</v>
      </c>
      <c r="N123" s="9">
        <f t="shared" ref="N123" si="567">M123*0.21</f>
        <v>8.1731999999999996</v>
      </c>
      <c r="O123" s="146">
        <f t="shared" ref="O123" si="568">M123+N123</f>
        <v>47.093200000000003</v>
      </c>
    </row>
    <row r="124" spans="1:15" x14ac:dyDescent="0.3">
      <c r="A124" s="140" t="s">
        <v>599</v>
      </c>
      <c r="B124" s="141" t="s">
        <v>600</v>
      </c>
      <c r="C124" s="142" t="s">
        <v>1655</v>
      </c>
      <c r="D124" s="143">
        <v>25</v>
      </c>
      <c r="E124" s="144">
        <v>0.4</v>
      </c>
      <c r="F124" s="442">
        <v>0.42</v>
      </c>
      <c r="G124" s="2">
        <f t="shared" ref="G124" si="569">D124*E124</f>
        <v>10</v>
      </c>
      <c r="H124" s="145">
        <f t="shared" ref="H124" si="570">G124+D124</f>
        <v>35</v>
      </c>
      <c r="I124" s="9">
        <f t="shared" ref="I124" si="571">H124*0.21</f>
        <v>7.35</v>
      </c>
      <c r="J124" s="146">
        <f t="shared" ref="J124" si="572">H124+I124</f>
        <v>42.35</v>
      </c>
      <c r="L124" s="153">
        <f t="shared" ref="L124" si="573">D124*F124</f>
        <v>10.5</v>
      </c>
      <c r="M124" s="145">
        <f t="shared" ref="M124" si="574">D124+L124</f>
        <v>35.5</v>
      </c>
      <c r="N124" s="9">
        <f t="shared" ref="N124" si="575">M124*0.21</f>
        <v>7.4550000000000001</v>
      </c>
      <c r="O124" s="146">
        <f t="shared" ref="O124" si="576">M124+N124</f>
        <v>42.954999999999998</v>
      </c>
    </row>
    <row r="125" spans="1:15" x14ac:dyDescent="0.3">
      <c r="A125" s="140" t="s">
        <v>601</v>
      </c>
      <c r="B125" s="141" t="s">
        <v>602</v>
      </c>
      <c r="C125" s="142" t="s">
        <v>1655</v>
      </c>
      <c r="D125" s="143">
        <v>22</v>
      </c>
      <c r="E125" s="144">
        <v>0.43</v>
      </c>
      <c r="F125" s="442">
        <v>0.45</v>
      </c>
      <c r="G125" s="2">
        <f t="shared" ref="G125" si="577">D125*E125</f>
        <v>9.4599999999999991</v>
      </c>
      <c r="H125" s="145">
        <f t="shared" ref="H125" si="578">G125+D125</f>
        <v>31.46</v>
      </c>
      <c r="I125" s="9">
        <f t="shared" ref="I125" si="579">H125*0.21</f>
        <v>6.6066000000000003</v>
      </c>
      <c r="J125" s="146">
        <f t="shared" ref="J125" si="580">H125+I125</f>
        <v>38.066600000000001</v>
      </c>
      <c r="L125" s="153">
        <f t="shared" ref="L125" si="581">D125*F125</f>
        <v>9.9</v>
      </c>
      <c r="M125" s="145">
        <f t="shared" ref="M125" si="582">D125+L125</f>
        <v>31.9</v>
      </c>
      <c r="N125" s="9">
        <f t="shared" ref="N125" si="583">M125*0.21</f>
        <v>6.6989999999999998</v>
      </c>
      <c r="O125" s="146">
        <f t="shared" ref="O125" si="584">M125+N125</f>
        <v>38.598999999999997</v>
      </c>
    </row>
    <row r="126" spans="1:15" x14ac:dyDescent="0.3">
      <c r="A126" s="140" t="s">
        <v>603</v>
      </c>
      <c r="B126" s="141" t="s">
        <v>604</v>
      </c>
      <c r="C126" s="142" t="s">
        <v>1655</v>
      </c>
      <c r="D126" s="143">
        <v>19</v>
      </c>
      <c r="E126" s="144">
        <v>0.46</v>
      </c>
      <c r="F126" s="442">
        <v>0.48</v>
      </c>
      <c r="G126" s="2">
        <f t="shared" ref="G126" si="585">D126*E126</f>
        <v>8.74</v>
      </c>
      <c r="H126" s="145">
        <f t="shared" ref="H126" si="586">G126+D126</f>
        <v>27.740000000000002</v>
      </c>
      <c r="I126" s="9">
        <f t="shared" ref="I126" si="587">H126*0.21</f>
        <v>5.8254000000000001</v>
      </c>
      <c r="J126" s="146">
        <f t="shared" ref="J126" si="588">H126+I126</f>
        <v>33.565400000000004</v>
      </c>
      <c r="L126" s="153">
        <f t="shared" ref="L126" si="589">D126*F126</f>
        <v>9.1199999999999992</v>
      </c>
      <c r="M126" s="145">
        <f t="shared" ref="M126" si="590">D126+L126</f>
        <v>28.119999999999997</v>
      </c>
      <c r="N126" s="9">
        <f t="shared" ref="N126" si="591">M126*0.21</f>
        <v>5.9051999999999989</v>
      </c>
      <c r="O126" s="146">
        <f t="shared" ref="O126" si="592">M126+N126</f>
        <v>34.025199999999998</v>
      </c>
    </row>
    <row r="127" spans="1:15" x14ac:dyDescent="0.3">
      <c r="A127" s="140" t="s">
        <v>605</v>
      </c>
      <c r="B127" s="141" t="s">
        <v>606</v>
      </c>
      <c r="C127" s="142" t="s">
        <v>1655</v>
      </c>
      <c r="D127" s="143">
        <v>16</v>
      </c>
      <c r="E127" s="144">
        <v>0.49</v>
      </c>
      <c r="F127" s="442">
        <v>0.51</v>
      </c>
      <c r="G127" s="2">
        <f t="shared" ref="G127" si="593">D127*E127</f>
        <v>7.84</v>
      </c>
      <c r="H127" s="145">
        <f t="shared" ref="H127" si="594">G127+D127</f>
        <v>23.84</v>
      </c>
      <c r="I127" s="9">
        <f t="shared" ref="I127" si="595">H127*0.21</f>
        <v>5.0064000000000002</v>
      </c>
      <c r="J127" s="146">
        <f t="shared" ref="J127" si="596">H127+I127</f>
        <v>28.846399999999999</v>
      </c>
      <c r="L127" s="153">
        <f t="shared" ref="L127" si="597">D127*F127</f>
        <v>8.16</v>
      </c>
      <c r="M127" s="145">
        <f t="shared" ref="M127" si="598">D127+L127</f>
        <v>24.16</v>
      </c>
      <c r="N127" s="9">
        <f t="shared" ref="N127" si="599">M127*0.21</f>
        <v>5.0735999999999999</v>
      </c>
      <c r="O127" s="146">
        <f t="shared" ref="O127" si="600">M127+N127</f>
        <v>29.233599999999999</v>
      </c>
    </row>
    <row r="128" spans="1:15" x14ac:dyDescent="0.3">
      <c r="A128" s="140" t="s">
        <v>1227</v>
      </c>
      <c r="B128" s="141" t="s">
        <v>1228</v>
      </c>
      <c r="C128" s="142" t="s">
        <v>1655</v>
      </c>
      <c r="D128" s="143">
        <v>13</v>
      </c>
      <c r="E128" s="144">
        <v>0.52</v>
      </c>
      <c r="F128" s="442">
        <v>0.54</v>
      </c>
      <c r="G128" s="2">
        <f t="shared" ref="G128" si="601">D128*E128</f>
        <v>6.76</v>
      </c>
      <c r="H128" s="145">
        <f t="shared" ref="H128" si="602">G128+D128</f>
        <v>19.759999999999998</v>
      </c>
      <c r="I128" s="9">
        <f t="shared" ref="I128" si="603">H128*0.21</f>
        <v>4.1495999999999995</v>
      </c>
      <c r="J128" s="146">
        <f t="shared" ref="J128" si="604">H128+I128</f>
        <v>23.909599999999998</v>
      </c>
      <c r="L128" s="153">
        <f t="shared" ref="L128" si="605">D128*F128</f>
        <v>7.0200000000000005</v>
      </c>
      <c r="M128" s="145">
        <f t="shared" ref="M128" si="606">D128+L128</f>
        <v>20.02</v>
      </c>
      <c r="N128" s="9">
        <f t="shared" ref="N128" si="607">M128*0.21</f>
        <v>4.2042000000000002</v>
      </c>
      <c r="O128" s="146">
        <f t="shared" ref="O128" si="608">M128+N128</f>
        <v>24.2242</v>
      </c>
    </row>
    <row r="130" spans="1:15" x14ac:dyDescent="0.3">
      <c r="A130" s="174" t="s">
        <v>107</v>
      </c>
      <c r="B130" s="175" t="s">
        <v>109</v>
      </c>
      <c r="C130" s="176" t="s">
        <v>1655</v>
      </c>
      <c r="D130" s="177">
        <v>0.54</v>
      </c>
      <c r="E130" s="178">
        <v>0.3</v>
      </c>
      <c r="F130" s="443">
        <v>0.13</v>
      </c>
      <c r="G130" s="2">
        <f t="shared" ref="G130" si="609">D130*E130</f>
        <v>0.16200000000000001</v>
      </c>
      <c r="H130" s="179">
        <f t="shared" ref="H130" si="610">G130+D130</f>
        <v>0.70200000000000007</v>
      </c>
      <c r="I130" s="9">
        <f t="shared" ref="I130:I131" si="611">H130*0.21</f>
        <v>0.14742</v>
      </c>
      <c r="J130" s="180">
        <f t="shared" ref="J130" si="612">H130+I130</f>
        <v>0.84942000000000006</v>
      </c>
      <c r="L130" s="153">
        <f t="shared" ref="L130" si="613">D130*F130</f>
        <v>7.0200000000000012E-2</v>
      </c>
      <c r="M130" s="179">
        <f t="shared" ref="M130" si="614">D130+L130</f>
        <v>0.61020000000000008</v>
      </c>
      <c r="N130" s="9">
        <f t="shared" si="296"/>
        <v>0.12814200000000001</v>
      </c>
      <c r="O130" s="180">
        <f t="shared" ref="O130" si="615">M130+N130</f>
        <v>0.73834200000000005</v>
      </c>
    </row>
    <row r="131" spans="1:15" x14ac:dyDescent="0.3">
      <c r="A131" s="174" t="s">
        <v>108</v>
      </c>
      <c r="B131" s="175" t="s">
        <v>106</v>
      </c>
      <c r="C131" s="176" t="s">
        <v>1655</v>
      </c>
      <c r="D131" s="177">
        <v>0.75</v>
      </c>
      <c r="E131" s="178">
        <v>0.3</v>
      </c>
      <c r="F131" s="443">
        <v>0.13</v>
      </c>
      <c r="G131" s="2">
        <f t="shared" ref="G131" si="616">D131*E131</f>
        <v>0.22499999999999998</v>
      </c>
      <c r="H131" s="179">
        <f t="shared" ref="H131" si="617">G131+D131</f>
        <v>0.97499999999999998</v>
      </c>
      <c r="I131" s="9">
        <f t="shared" si="611"/>
        <v>0.20474999999999999</v>
      </c>
      <c r="J131" s="180">
        <f t="shared" ref="J131" si="618">H131+I131</f>
        <v>1.1797499999999999</v>
      </c>
      <c r="L131" s="153">
        <f t="shared" ref="L131" si="619">D131*F131</f>
        <v>9.7500000000000003E-2</v>
      </c>
      <c r="M131" s="179">
        <f t="shared" ref="M131" si="620">D131+L131</f>
        <v>0.84750000000000003</v>
      </c>
      <c r="N131" s="9">
        <f t="shared" si="296"/>
        <v>0.17797499999999999</v>
      </c>
      <c r="O131" s="180">
        <f t="shared" ref="O131" si="621">M131+N131</f>
        <v>1.0254750000000001</v>
      </c>
    </row>
    <row r="132" spans="1:15" x14ac:dyDescent="0.3">
      <c r="A132" s="174" t="s">
        <v>188</v>
      </c>
      <c r="B132" s="175" t="s">
        <v>189</v>
      </c>
      <c r="C132" s="176" t="s">
        <v>1655</v>
      </c>
      <c r="D132" s="177">
        <v>0.96</v>
      </c>
      <c r="E132" s="178">
        <v>0.3</v>
      </c>
      <c r="F132" s="443">
        <v>0.13</v>
      </c>
      <c r="G132" s="2">
        <f t="shared" ref="G132" si="622">D132*E132</f>
        <v>0.28799999999999998</v>
      </c>
      <c r="H132" s="179">
        <f t="shared" ref="H132" si="623">G132+D132</f>
        <v>1.248</v>
      </c>
      <c r="I132" s="9">
        <f t="shared" ref="I132" si="624">H132*0.21</f>
        <v>0.26207999999999998</v>
      </c>
      <c r="J132" s="180">
        <f t="shared" ref="J132" si="625">H132+I132</f>
        <v>1.5100799999999999</v>
      </c>
      <c r="L132" s="153">
        <f t="shared" ref="L132" si="626">D132*F132</f>
        <v>0.12479999999999999</v>
      </c>
      <c r="M132" s="179">
        <f t="shared" ref="M132" si="627">D132+L132</f>
        <v>1.0848</v>
      </c>
      <c r="N132" s="9">
        <f t="shared" ref="N132" si="628">M132*0.21</f>
        <v>0.22780799999999998</v>
      </c>
      <c r="O132" s="180">
        <f t="shared" ref="O132" si="629">M132+N132</f>
        <v>1.312608</v>
      </c>
    </row>
    <row r="133" spans="1:15" x14ac:dyDescent="0.3">
      <c r="A133" s="174" t="s">
        <v>1048</v>
      </c>
      <c r="B133" s="175" t="s">
        <v>1049</v>
      </c>
      <c r="C133" s="176" t="s">
        <v>1655</v>
      </c>
      <c r="D133" s="177">
        <v>1.17</v>
      </c>
      <c r="E133" s="178">
        <v>0.3</v>
      </c>
      <c r="F133" s="443">
        <v>0.13</v>
      </c>
      <c r="G133" s="2">
        <f t="shared" ref="G133" si="630">D133*E133</f>
        <v>0.35099999999999998</v>
      </c>
      <c r="H133" s="179">
        <f t="shared" ref="H133" si="631">G133+D133</f>
        <v>1.5209999999999999</v>
      </c>
      <c r="I133" s="9">
        <f t="shared" ref="I133" si="632">H133*0.21</f>
        <v>0.31940999999999997</v>
      </c>
      <c r="J133" s="180">
        <f t="shared" ref="J133" si="633">H133+I133</f>
        <v>1.8404099999999999</v>
      </c>
      <c r="L133" s="153">
        <f t="shared" ref="L133" si="634">D133*F133</f>
        <v>0.15209999999999999</v>
      </c>
      <c r="M133" s="179">
        <f t="shared" ref="M133" si="635">D133+L133</f>
        <v>1.3220999999999998</v>
      </c>
      <c r="N133" s="9">
        <f t="shared" ref="N133" si="636">M133*0.21</f>
        <v>0.27764099999999997</v>
      </c>
      <c r="O133" s="180">
        <f t="shared" ref="O133" si="637">M133+N133</f>
        <v>1.5997409999999999</v>
      </c>
    </row>
    <row r="134" spans="1:15" x14ac:dyDescent="0.3">
      <c r="A134" s="174" t="s">
        <v>1365</v>
      </c>
      <c r="B134" s="175" t="s">
        <v>1366</v>
      </c>
      <c r="C134" s="176" t="s">
        <v>1655</v>
      </c>
      <c r="D134" s="177">
        <v>1.38</v>
      </c>
      <c r="E134" s="178">
        <v>0.3</v>
      </c>
      <c r="F134" s="443">
        <v>0.13</v>
      </c>
      <c r="G134" s="2">
        <f t="shared" ref="G134" si="638">D134*E134</f>
        <v>0.41399999999999998</v>
      </c>
      <c r="H134" s="179">
        <f t="shared" ref="H134" si="639">G134+D134</f>
        <v>1.7939999999999998</v>
      </c>
      <c r="I134" s="9">
        <f t="shared" ref="I134" si="640">H134*0.21</f>
        <v>0.37673999999999996</v>
      </c>
      <c r="J134" s="180">
        <f t="shared" ref="J134" si="641">H134+I134</f>
        <v>2.1707399999999999</v>
      </c>
      <c r="L134" s="153">
        <f t="shared" ref="L134" si="642">D134*F134</f>
        <v>0.1794</v>
      </c>
      <c r="M134" s="179">
        <f t="shared" ref="M134" si="643">D134+L134</f>
        <v>1.5593999999999999</v>
      </c>
      <c r="N134" s="9">
        <f t="shared" ref="N134" si="644">M134*0.21</f>
        <v>0.32747399999999999</v>
      </c>
      <c r="O134" s="180">
        <f t="shared" ref="O134" si="645">M134+N134</f>
        <v>1.8868739999999999</v>
      </c>
    </row>
    <row r="136" spans="1:15" x14ac:dyDescent="0.3">
      <c r="A136" s="155" t="s">
        <v>102</v>
      </c>
      <c r="B136" s="156" t="s">
        <v>103</v>
      </c>
      <c r="C136" s="157" t="s">
        <v>1655</v>
      </c>
      <c r="D136" s="158">
        <v>45</v>
      </c>
      <c r="E136" s="159">
        <v>0.55000000000000004</v>
      </c>
      <c r="F136" s="173">
        <v>0.66</v>
      </c>
      <c r="G136" s="2">
        <f>D136*E136</f>
        <v>24.750000000000004</v>
      </c>
      <c r="H136" s="160">
        <f>G136+D136</f>
        <v>69.75</v>
      </c>
      <c r="I136" s="9">
        <f>H136*0.21</f>
        <v>14.647499999999999</v>
      </c>
      <c r="J136" s="161">
        <f>H136+I136</f>
        <v>84.397499999999994</v>
      </c>
      <c r="L136" s="153">
        <f>D136*F136</f>
        <v>29.700000000000003</v>
      </c>
      <c r="M136" s="160">
        <f>D136+L136</f>
        <v>74.7</v>
      </c>
      <c r="N136" s="9">
        <f>M136*0.21</f>
        <v>15.686999999999999</v>
      </c>
      <c r="O136" s="161">
        <f>M136+N136</f>
        <v>90.387</v>
      </c>
    </row>
    <row r="137" spans="1:15" x14ac:dyDescent="0.3">
      <c r="A137" s="155" t="s">
        <v>1367</v>
      </c>
      <c r="B137" s="156" t="s">
        <v>109</v>
      </c>
      <c r="C137" s="157" t="s">
        <v>1655</v>
      </c>
      <c r="D137" s="158">
        <v>60</v>
      </c>
      <c r="E137" s="159">
        <v>0.55000000000000004</v>
      </c>
      <c r="F137" s="173">
        <v>0.66</v>
      </c>
      <c r="G137" s="2">
        <f>D137*E137</f>
        <v>33</v>
      </c>
      <c r="H137" s="160">
        <f>G137+D137</f>
        <v>93</v>
      </c>
      <c r="I137" s="9">
        <f>H137*0.21</f>
        <v>19.529999999999998</v>
      </c>
      <c r="J137" s="161">
        <f>H137+I137</f>
        <v>112.53</v>
      </c>
      <c r="L137" s="153">
        <f>D137*F137</f>
        <v>39.6</v>
      </c>
      <c r="M137" s="160">
        <f>D137+L137</f>
        <v>99.6</v>
      </c>
      <c r="N137" s="9">
        <f>M137*0.21</f>
        <v>20.915999999999997</v>
      </c>
      <c r="O137" s="161">
        <f>M137+N137</f>
        <v>120.51599999999999</v>
      </c>
    </row>
    <row r="139" spans="1:15" x14ac:dyDescent="0.3">
      <c r="A139" s="378" t="s">
        <v>324</v>
      </c>
      <c r="B139" s="379" t="s">
        <v>811</v>
      </c>
      <c r="C139" s="380" t="s">
        <v>1655</v>
      </c>
      <c r="D139" s="381">
        <v>14</v>
      </c>
      <c r="E139" s="382">
        <v>0.33</v>
      </c>
      <c r="F139" s="383">
        <v>0.44</v>
      </c>
      <c r="G139" s="2">
        <f t="shared" ref="G139" si="646">D139*E139</f>
        <v>4.62</v>
      </c>
      <c r="H139" s="385">
        <f t="shared" ref="H139" si="647">G139+D139</f>
        <v>18.62</v>
      </c>
      <c r="I139" s="9">
        <f t="shared" ref="I139" si="648">H139*0.21</f>
        <v>3.9102000000000001</v>
      </c>
      <c r="J139" s="384">
        <f t="shared" ref="J139" si="649">H139+I139</f>
        <v>22.530200000000001</v>
      </c>
      <c r="L139" s="153">
        <f t="shared" ref="L139" si="650">D139*F139</f>
        <v>6.16</v>
      </c>
      <c r="M139" s="385">
        <f t="shared" ref="M139" si="651">D139+L139</f>
        <v>20.16</v>
      </c>
      <c r="N139" s="9">
        <f t="shared" ref="N139" si="652">M139*0.21</f>
        <v>4.2336</v>
      </c>
      <c r="O139" s="384">
        <f t="shared" ref="O139" si="653">M139+N139</f>
        <v>24.393599999999999</v>
      </c>
    </row>
    <row r="140" spans="1:15" x14ac:dyDescent="0.3">
      <c r="A140" s="378" t="s">
        <v>1566</v>
      </c>
      <c r="B140" s="379" t="s">
        <v>1031</v>
      </c>
      <c r="C140" s="380" t="s">
        <v>1655</v>
      </c>
      <c r="D140" s="381">
        <v>16</v>
      </c>
      <c r="E140" s="382">
        <v>0.33</v>
      </c>
      <c r="F140" s="383">
        <v>0.44</v>
      </c>
      <c r="G140" s="2">
        <f t="shared" ref="G140" si="654">D140*E140</f>
        <v>5.28</v>
      </c>
      <c r="H140" s="385">
        <f t="shared" ref="H140" si="655">G140+D140</f>
        <v>21.28</v>
      </c>
      <c r="I140" s="9">
        <f t="shared" ref="I140" si="656">H140*0.21</f>
        <v>4.4687999999999999</v>
      </c>
      <c r="J140" s="384">
        <f t="shared" ref="J140" si="657">H140+I140</f>
        <v>25.748800000000003</v>
      </c>
      <c r="L140" s="153">
        <f t="shared" ref="L140" si="658">D140*F140</f>
        <v>7.04</v>
      </c>
      <c r="M140" s="385">
        <f t="shared" ref="M140" si="659">D140+L140</f>
        <v>23.04</v>
      </c>
      <c r="N140" s="9">
        <f t="shared" ref="N140" si="660">M140*0.21</f>
        <v>4.8384</v>
      </c>
      <c r="O140" s="384">
        <f t="shared" ref="O140" si="661">M140+N140</f>
        <v>27.878399999999999</v>
      </c>
    </row>
    <row r="141" spans="1:15" x14ac:dyDescent="0.3">
      <c r="A141" s="378" t="s">
        <v>1567</v>
      </c>
      <c r="B141" s="379" t="s">
        <v>1036</v>
      </c>
      <c r="C141" s="380" t="s">
        <v>1655</v>
      </c>
      <c r="D141" s="381">
        <v>18</v>
      </c>
      <c r="E141" s="382">
        <v>0.33</v>
      </c>
      <c r="F141" s="383">
        <v>0.44</v>
      </c>
      <c r="G141" s="2">
        <f t="shared" ref="G141" si="662">D141*E141</f>
        <v>5.94</v>
      </c>
      <c r="H141" s="385">
        <f t="shared" ref="H141" si="663">G141+D141</f>
        <v>23.94</v>
      </c>
      <c r="I141" s="9">
        <f t="shared" ref="I141" si="664">H141*0.21</f>
        <v>5.0274000000000001</v>
      </c>
      <c r="J141" s="384">
        <f t="shared" ref="J141" si="665">H141+I141</f>
        <v>28.967400000000001</v>
      </c>
      <c r="L141" s="153">
        <f t="shared" ref="L141" si="666">D141*F141</f>
        <v>7.92</v>
      </c>
      <c r="M141" s="385">
        <f t="shared" ref="M141" si="667">D141+L141</f>
        <v>25.92</v>
      </c>
      <c r="N141" s="9">
        <f t="shared" ref="N141" si="668">M141*0.21</f>
        <v>5.4432</v>
      </c>
      <c r="O141" s="384">
        <f t="shared" ref="O141" si="669">M141+N141</f>
        <v>31.363200000000003</v>
      </c>
    </row>
    <row r="142" spans="1:15" x14ac:dyDescent="0.3">
      <c r="A142" s="378" t="s">
        <v>1568</v>
      </c>
      <c r="B142" s="379" t="s">
        <v>1344</v>
      </c>
      <c r="C142" s="380" t="s">
        <v>1655</v>
      </c>
      <c r="D142" s="381">
        <v>20</v>
      </c>
      <c r="E142" s="382">
        <v>0.33</v>
      </c>
      <c r="F142" s="383">
        <v>0.44</v>
      </c>
      <c r="G142" s="2">
        <f t="shared" ref="G142" si="670">D142*E142</f>
        <v>6.6000000000000005</v>
      </c>
      <c r="H142" s="385">
        <f t="shared" ref="H142" si="671">G142+D142</f>
        <v>26.6</v>
      </c>
      <c r="I142" s="9">
        <f t="shared" ref="I142" si="672">H142*0.21</f>
        <v>5.5860000000000003</v>
      </c>
      <c r="J142" s="384">
        <f t="shared" ref="J142" si="673">H142+I142</f>
        <v>32.186</v>
      </c>
      <c r="L142" s="153">
        <f t="shared" ref="L142" si="674">D142*F142</f>
        <v>8.8000000000000007</v>
      </c>
      <c r="M142" s="385">
        <f t="shared" ref="M142" si="675">D142+L142</f>
        <v>28.8</v>
      </c>
      <c r="N142" s="9">
        <f t="shared" ref="N142" si="676">M142*0.21</f>
        <v>6.048</v>
      </c>
      <c r="O142" s="384">
        <f t="shared" ref="O142" si="677">M142+N142</f>
        <v>34.847999999999999</v>
      </c>
    </row>
    <row r="143" spans="1:15" x14ac:dyDescent="0.3">
      <c r="A143" s="378" t="s">
        <v>1600</v>
      </c>
      <c r="B143" s="379" t="s">
        <v>1601</v>
      </c>
      <c r="C143" s="380" t="s">
        <v>1655</v>
      </c>
      <c r="D143" s="381">
        <v>22</v>
      </c>
      <c r="E143" s="382">
        <v>0.33</v>
      </c>
      <c r="F143" s="383">
        <v>0.44</v>
      </c>
      <c r="G143" s="2">
        <f t="shared" ref="G143" si="678">D143*E143</f>
        <v>7.2600000000000007</v>
      </c>
      <c r="H143" s="385">
        <f t="shared" ref="H143" si="679">G143+D143</f>
        <v>29.26</v>
      </c>
      <c r="I143" s="9">
        <f t="shared" ref="I143" si="680">H143*0.21</f>
        <v>6.1446000000000005</v>
      </c>
      <c r="J143" s="384">
        <f t="shared" ref="J143" si="681">H143+I143</f>
        <v>35.404600000000002</v>
      </c>
      <c r="L143" s="153">
        <f t="shared" ref="L143" si="682">D143*F143</f>
        <v>9.68</v>
      </c>
      <c r="M143" s="385">
        <f t="shared" ref="M143" si="683">D143+L143</f>
        <v>31.68</v>
      </c>
      <c r="N143" s="9">
        <f t="shared" ref="N143" si="684">M143*0.21</f>
        <v>6.6528</v>
      </c>
      <c r="O143" s="384">
        <f t="shared" ref="O143" si="685">M143+N143</f>
        <v>38.332799999999999</v>
      </c>
    </row>
    <row r="145" spans="1:15" x14ac:dyDescent="0.3">
      <c r="A145" s="386" t="s">
        <v>810</v>
      </c>
      <c r="B145" s="387" t="s">
        <v>813</v>
      </c>
      <c r="C145" s="388" t="s">
        <v>1655</v>
      </c>
      <c r="D145" s="389">
        <v>7.5</v>
      </c>
      <c r="E145" s="390">
        <v>0.31</v>
      </c>
      <c r="F145" s="391">
        <v>0.32</v>
      </c>
      <c r="G145" s="2">
        <f t="shared" ref="G145" si="686">D145*E145</f>
        <v>2.3250000000000002</v>
      </c>
      <c r="H145" s="392">
        <f t="shared" ref="H145" si="687">G145+D145</f>
        <v>9.8249999999999993</v>
      </c>
      <c r="I145" s="9">
        <f t="shared" ref="I145" si="688">H145*0.21</f>
        <v>2.0632499999999996</v>
      </c>
      <c r="J145" s="393">
        <f t="shared" ref="J145" si="689">H145+I145</f>
        <v>11.888249999999999</v>
      </c>
      <c r="L145" s="153">
        <f t="shared" ref="L145" si="690">D145*F145</f>
        <v>2.4</v>
      </c>
      <c r="M145" s="392">
        <f t="shared" ref="M145" si="691">D145+L145</f>
        <v>9.9</v>
      </c>
      <c r="N145" s="9">
        <f t="shared" ref="N145" si="692">M145*0.21</f>
        <v>2.0790000000000002</v>
      </c>
      <c r="O145" s="393">
        <f t="shared" ref="O145" si="693">M145+N145</f>
        <v>11.979000000000001</v>
      </c>
    </row>
    <row r="146" spans="1:15" x14ac:dyDescent="0.3">
      <c r="A146" s="386" t="s">
        <v>1030</v>
      </c>
      <c r="B146" s="387" t="s">
        <v>1038</v>
      </c>
      <c r="C146" s="388" t="s">
        <v>1655</v>
      </c>
      <c r="D146" s="389">
        <v>8.32</v>
      </c>
      <c r="E146" s="390">
        <v>0.31</v>
      </c>
      <c r="F146" s="391">
        <v>0.32</v>
      </c>
      <c r="G146" s="2">
        <f t="shared" ref="G146" si="694">D146*E146</f>
        <v>2.5792000000000002</v>
      </c>
      <c r="H146" s="392">
        <f t="shared" ref="H146" si="695">G146+D146</f>
        <v>10.8992</v>
      </c>
      <c r="I146" s="9">
        <f t="shared" ref="I146" si="696">H146*0.21</f>
        <v>2.2888320000000002</v>
      </c>
      <c r="J146" s="393">
        <f t="shared" ref="J146" si="697">H146+I146</f>
        <v>13.188032</v>
      </c>
      <c r="L146" s="153">
        <f t="shared" ref="L146" si="698">D146*F146</f>
        <v>2.6624000000000003</v>
      </c>
      <c r="M146" s="392">
        <f t="shared" ref="M146" si="699">D146+L146</f>
        <v>10.9824</v>
      </c>
      <c r="N146" s="9">
        <f t="shared" ref="N146" si="700">M146*0.21</f>
        <v>2.3063039999999999</v>
      </c>
      <c r="O146" s="393">
        <f t="shared" ref="O146" si="701">M146+N146</f>
        <v>13.288703999999999</v>
      </c>
    </row>
    <row r="147" spans="1:15" x14ac:dyDescent="0.3">
      <c r="A147" s="386" t="s">
        <v>1035</v>
      </c>
      <c r="B147" s="387" t="s">
        <v>1079</v>
      </c>
      <c r="C147" s="388" t="s">
        <v>1655</v>
      </c>
      <c r="D147" s="389">
        <v>9.14</v>
      </c>
      <c r="E147" s="390">
        <v>0.31</v>
      </c>
      <c r="F147" s="391">
        <v>0.32</v>
      </c>
      <c r="G147" s="2">
        <f t="shared" ref="G147" si="702">D147*E147</f>
        <v>2.8334000000000001</v>
      </c>
      <c r="H147" s="392">
        <f t="shared" ref="H147" si="703">G147+D147</f>
        <v>11.973400000000002</v>
      </c>
      <c r="I147" s="9">
        <f t="shared" ref="I147" si="704">H147*0.21</f>
        <v>2.5144140000000004</v>
      </c>
      <c r="J147" s="393">
        <f t="shared" ref="J147" si="705">H147+I147</f>
        <v>14.487814000000002</v>
      </c>
      <c r="L147" s="153">
        <f t="shared" ref="L147" si="706">D147*F147</f>
        <v>2.9248000000000003</v>
      </c>
      <c r="M147" s="392">
        <f t="shared" ref="M147" si="707">D147+L147</f>
        <v>12.064800000000002</v>
      </c>
      <c r="N147" s="9">
        <f t="shared" ref="N147" si="708">M147*0.21</f>
        <v>2.5336080000000001</v>
      </c>
      <c r="O147" s="393">
        <f t="shared" ref="O147" si="709">M147+N147</f>
        <v>14.598408000000003</v>
      </c>
    </row>
    <row r="149" spans="1:15" x14ac:dyDescent="0.3">
      <c r="A149" s="403" t="s">
        <v>812</v>
      </c>
      <c r="B149" s="404" t="s">
        <v>1296</v>
      </c>
      <c r="C149" s="405" t="s">
        <v>1655</v>
      </c>
      <c r="D149" s="446">
        <v>14.65</v>
      </c>
      <c r="E149" s="406">
        <v>0.15</v>
      </c>
      <c r="F149" s="407">
        <v>0.02</v>
      </c>
      <c r="G149" s="2">
        <f t="shared" ref="G149" si="710">D149*E149</f>
        <v>2.1974999999999998</v>
      </c>
      <c r="H149" s="408">
        <f t="shared" ref="H149" si="711">G149+D149</f>
        <v>16.8475</v>
      </c>
      <c r="I149" s="9">
        <f t="shared" ref="I149" si="712">H149*0.21</f>
        <v>3.5379749999999999</v>
      </c>
      <c r="J149" s="409">
        <f t="shared" ref="J149" si="713">H149+I149</f>
        <v>20.385475</v>
      </c>
      <c r="L149" s="153">
        <f t="shared" ref="L149" si="714">D149*F149</f>
        <v>0.29300000000000004</v>
      </c>
      <c r="M149" s="408">
        <f t="shared" ref="M149" si="715">D149+L149</f>
        <v>14.943</v>
      </c>
      <c r="N149" s="9">
        <f t="shared" ref="N149" si="716">M149*0.21</f>
        <v>3.1380299999999997</v>
      </c>
      <c r="O149" s="409">
        <f t="shared" ref="O149" si="717">M149+N149</f>
        <v>18.081029999999998</v>
      </c>
    </row>
    <row r="150" spans="1:15" x14ac:dyDescent="0.3">
      <c r="A150" s="403" t="s">
        <v>1037</v>
      </c>
      <c r="B150" s="404" t="s">
        <v>1305</v>
      </c>
      <c r="C150" s="405" t="s">
        <v>1655</v>
      </c>
      <c r="D150" s="446">
        <v>15.65</v>
      </c>
      <c r="E150" s="406">
        <v>0.15</v>
      </c>
      <c r="F150" s="407">
        <v>0.02</v>
      </c>
      <c r="G150" s="2">
        <f t="shared" ref="G150" si="718">D150*E150</f>
        <v>2.3475000000000001</v>
      </c>
      <c r="H150" s="408">
        <f t="shared" ref="H150" si="719">G150+D150</f>
        <v>17.997500000000002</v>
      </c>
      <c r="I150" s="9">
        <f t="shared" ref="I150" si="720">H150*0.21</f>
        <v>3.7794750000000001</v>
      </c>
      <c r="J150" s="409">
        <f t="shared" ref="J150" si="721">H150+I150</f>
        <v>21.776975000000004</v>
      </c>
      <c r="L150" s="153">
        <f t="shared" ref="L150" si="722">D150*F150</f>
        <v>0.313</v>
      </c>
      <c r="M150" s="408">
        <f t="shared" ref="M150" si="723">D150+L150</f>
        <v>15.963000000000001</v>
      </c>
      <c r="N150" s="9">
        <f t="shared" ref="N150" si="724">M150*0.21</f>
        <v>3.35223</v>
      </c>
      <c r="O150" s="409">
        <f t="shared" ref="O150" si="725">M150+N150</f>
        <v>19.31523</v>
      </c>
    </row>
    <row r="152" spans="1:15" x14ac:dyDescent="0.3">
      <c r="A152" s="447" t="s">
        <v>1569</v>
      </c>
      <c r="B152" s="448" t="s">
        <v>1303</v>
      </c>
      <c r="C152" s="449" t="s">
        <v>1655</v>
      </c>
      <c r="D152" s="450">
        <v>0.64</v>
      </c>
      <c r="E152" s="451">
        <v>0.22</v>
      </c>
      <c r="F152" s="452">
        <v>0.33</v>
      </c>
      <c r="G152" s="2">
        <f t="shared" ref="G152" si="726">D152*E152</f>
        <v>0.14080000000000001</v>
      </c>
      <c r="H152" s="408">
        <f t="shared" ref="H152" si="727">G152+D152</f>
        <v>0.78080000000000005</v>
      </c>
      <c r="I152" s="9">
        <f t="shared" ref="I152" si="728">H152*0.21</f>
        <v>0.163968</v>
      </c>
      <c r="J152" s="409">
        <f t="shared" ref="J152" si="729">H152+I152</f>
        <v>0.94476800000000005</v>
      </c>
      <c r="L152" s="153">
        <f t="shared" ref="L152" si="730">D152*F152</f>
        <v>0.21120000000000003</v>
      </c>
      <c r="M152" s="408">
        <f t="shared" ref="M152" si="731">D152+L152</f>
        <v>0.85120000000000007</v>
      </c>
      <c r="N152" s="9">
        <f t="shared" ref="N152" si="732">M152*0.21</f>
        <v>0.17875199999999999</v>
      </c>
      <c r="O152" s="409">
        <f t="shared" ref="O152" si="733">M152+N152</f>
        <v>1.029952</v>
      </c>
    </row>
    <row r="153" spans="1:15" x14ac:dyDescent="0.3">
      <c r="A153" s="447" t="s">
        <v>1570</v>
      </c>
      <c r="B153" s="448" t="s">
        <v>1304</v>
      </c>
      <c r="C153" s="449" t="s">
        <v>1655</v>
      </c>
      <c r="D153" s="450">
        <v>6.3</v>
      </c>
      <c r="E153" s="451">
        <v>0.22</v>
      </c>
      <c r="F153" s="452">
        <v>0.33</v>
      </c>
      <c r="G153" s="2">
        <f t="shared" ref="G153" si="734">D153*E153</f>
        <v>1.3859999999999999</v>
      </c>
      <c r="H153" s="408">
        <f t="shared" ref="H153" si="735">G153+D153</f>
        <v>7.6859999999999999</v>
      </c>
      <c r="I153" s="9">
        <f t="shared" ref="I153" si="736">H153*0.21</f>
        <v>1.6140599999999998</v>
      </c>
      <c r="J153" s="409">
        <f t="shared" ref="J153" si="737">H153+I153</f>
        <v>9.3000600000000002</v>
      </c>
      <c r="L153" s="153">
        <f t="shared" ref="L153" si="738">D153*F153</f>
        <v>2.0790000000000002</v>
      </c>
      <c r="M153" s="408">
        <f t="shared" ref="M153" si="739">D153+L153</f>
        <v>8.3789999999999996</v>
      </c>
      <c r="N153" s="9">
        <f t="shared" ref="N153" si="740">M153*0.21</f>
        <v>1.7595899999999998</v>
      </c>
      <c r="O153" s="409">
        <f t="shared" ref="O153" si="741">M153+N153</f>
        <v>10.138589999999999</v>
      </c>
    </row>
    <row r="154" spans="1:15" x14ac:dyDescent="0.3">
      <c r="A154" s="447" t="s">
        <v>1571</v>
      </c>
      <c r="B154" s="448" t="s">
        <v>1360</v>
      </c>
      <c r="C154" s="449" t="s">
        <v>1655</v>
      </c>
      <c r="D154" s="450">
        <v>11.96</v>
      </c>
      <c r="E154" s="451">
        <v>0.22</v>
      </c>
      <c r="F154" s="452">
        <v>0.33</v>
      </c>
      <c r="G154" s="2">
        <f t="shared" ref="G154" si="742">D154*E154</f>
        <v>2.6312000000000002</v>
      </c>
      <c r="H154" s="408">
        <f t="shared" ref="H154" si="743">G154+D154</f>
        <v>14.591200000000001</v>
      </c>
      <c r="I154" s="9">
        <f t="shared" ref="I154" si="744">H154*0.21</f>
        <v>3.064152</v>
      </c>
      <c r="J154" s="409">
        <f t="shared" ref="J154" si="745">H154+I154</f>
        <v>17.655352000000001</v>
      </c>
      <c r="L154" s="153">
        <f t="shared" ref="L154" si="746">D154*F154</f>
        <v>3.9468000000000005</v>
      </c>
      <c r="M154" s="408">
        <f t="shared" ref="M154" si="747">D154+L154</f>
        <v>15.9068</v>
      </c>
      <c r="N154" s="9">
        <f t="shared" ref="N154" si="748">M154*0.21</f>
        <v>3.3404280000000002</v>
      </c>
      <c r="O154" s="409">
        <f t="shared" ref="O154" si="749">M154+N154</f>
        <v>19.247228</v>
      </c>
    </row>
    <row r="155" spans="1:15" ht="15.6" customHeight="1" x14ac:dyDescent="0.3">
      <c r="A155" s="447" t="s">
        <v>1572</v>
      </c>
      <c r="B155" s="448" t="s">
        <v>1362</v>
      </c>
      <c r="C155" s="449" t="s">
        <v>1655</v>
      </c>
      <c r="D155" s="450">
        <v>17.62</v>
      </c>
      <c r="E155" s="451">
        <v>0.22</v>
      </c>
      <c r="F155" s="452">
        <v>0.33</v>
      </c>
      <c r="G155" s="2">
        <f t="shared" ref="G155" si="750">D155*E155</f>
        <v>3.8764000000000003</v>
      </c>
      <c r="H155" s="408">
        <f t="shared" ref="H155" si="751">G155+D155</f>
        <v>21.496400000000001</v>
      </c>
      <c r="I155" s="9">
        <f t="shared" ref="I155" si="752">H155*0.21</f>
        <v>4.5142439999999997</v>
      </c>
      <c r="J155" s="409">
        <f t="shared" ref="J155" si="753">H155+I155</f>
        <v>26.010643999999999</v>
      </c>
      <c r="L155" s="153">
        <f t="shared" ref="L155" si="754">D155*F155</f>
        <v>5.8146000000000004</v>
      </c>
      <c r="M155" s="408">
        <f t="shared" ref="M155" si="755">D155+L155</f>
        <v>23.434600000000003</v>
      </c>
      <c r="N155" s="9">
        <f t="shared" ref="N155" si="756">M155*0.21</f>
        <v>4.9212660000000001</v>
      </c>
      <c r="O155" s="409">
        <f t="shared" ref="O155" si="757">M155+N155</f>
        <v>28.355866000000002</v>
      </c>
    </row>
    <row r="157" spans="1:15" x14ac:dyDescent="0.3">
      <c r="A157" s="462" t="s">
        <v>1356</v>
      </c>
      <c r="B157" s="463" t="s">
        <v>1357</v>
      </c>
      <c r="C157" s="464" t="s">
        <v>1655</v>
      </c>
      <c r="D157" s="465">
        <v>54.55</v>
      </c>
      <c r="E157" s="466">
        <v>0.15</v>
      </c>
      <c r="F157" s="467">
        <v>0.25</v>
      </c>
      <c r="G157" s="2">
        <f t="shared" ref="G157" si="758">D157*E157</f>
        <v>8.1824999999999992</v>
      </c>
      <c r="H157" s="468">
        <f t="shared" ref="H157" si="759">G157+D157</f>
        <v>62.732499999999995</v>
      </c>
      <c r="I157" s="9">
        <f t="shared" ref="I157" si="760">H157*0.21</f>
        <v>13.173824999999999</v>
      </c>
      <c r="J157" s="469">
        <f t="shared" ref="J157" si="761">H157+I157</f>
        <v>75.906324999999995</v>
      </c>
      <c r="L157" s="153">
        <f t="shared" ref="L157" si="762">D157*F157</f>
        <v>13.637499999999999</v>
      </c>
      <c r="M157" s="468">
        <f t="shared" ref="M157" si="763">D157+L157</f>
        <v>68.1875</v>
      </c>
      <c r="N157" s="9">
        <f t="shared" ref="N157" si="764">M157*0.21</f>
        <v>14.319374999999999</v>
      </c>
      <c r="O157" s="469">
        <f t="shared" ref="O157" si="765">M157+N157</f>
        <v>82.506874999999994</v>
      </c>
    </row>
    <row r="158" spans="1:15" x14ac:dyDescent="0.3">
      <c r="A158" s="462" t="s">
        <v>1358</v>
      </c>
      <c r="B158" s="463" t="s">
        <v>1359</v>
      </c>
      <c r="C158" s="464" t="s">
        <v>1655</v>
      </c>
      <c r="D158" s="465">
        <v>64.77</v>
      </c>
      <c r="E158" s="466">
        <v>0.15</v>
      </c>
      <c r="F158" s="467">
        <v>0.25</v>
      </c>
      <c r="G158" s="2">
        <f t="shared" ref="G158" si="766">D158*E158</f>
        <v>9.7154999999999987</v>
      </c>
      <c r="H158" s="468">
        <f t="shared" ref="H158" si="767">G158+D158</f>
        <v>74.485500000000002</v>
      </c>
      <c r="I158" s="9">
        <f t="shared" ref="I158" si="768">H158*0.21</f>
        <v>15.641954999999999</v>
      </c>
      <c r="J158" s="469">
        <f t="shared" ref="J158" si="769">H158+I158</f>
        <v>90.127454999999998</v>
      </c>
      <c r="L158" s="153">
        <f t="shared" ref="L158" si="770">D158*F158</f>
        <v>16.192499999999999</v>
      </c>
      <c r="M158" s="468">
        <f t="shared" ref="M158" si="771">D158+L158</f>
        <v>80.962499999999991</v>
      </c>
      <c r="N158" s="9">
        <f t="shared" ref="N158" si="772">M158*0.21</f>
        <v>17.002124999999996</v>
      </c>
      <c r="O158" s="469">
        <f t="shared" ref="O158" si="773">M158+N158</f>
        <v>97.964624999999984</v>
      </c>
    </row>
    <row r="160" spans="1:15" x14ac:dyDescent="0.3">
      <c r="A160" s="470" t="s">
        <v>1026</v>
      </c>
      <c r="B160" s="471" t="s">
        <v>1361</v>
      </c>
      <c r="C160" s="472" t="s">
        <v>1655</v>
      </c>
      <c r="D160" s="473">
        <v>0.44</v>
      </c>
      <c r="E160" s="474">
        <v>1</v>
      </c>
      <c r="F160" s="475">
        <v>0.9</v>
      </c>
      <c r="G160" s="2">
        <f t="shared" ref="G160" si="774">D160*E160</f>
        <v>0.44</v>
      </c>
      <c r="H160" s="476">
        <f t="shared" ref="H160" si="775">G160+D160</f>
        <v>0.88</v>
      </c>
      <c r="I160" s="9">
        <f t="shared" ref="I160" si="776">H160*0.21</f>
        <v>0.18479999999999999</v>
      </c>
      <c r="J160" s="477">
        <f t="shared" ref="J160" si="777">H160+I160</f>
        <v>1.0648</v>
      </c>
      <c r="L160" s="153">
        <f t="shared" ref="L160" si="778">D160*F160</f>
        <v>0.39600000000000002</v>
      </c>
      <c r="M160" s="476">
        <f t="shared" ref="M160" si="779">D160+L160</f>
        <v>0.83600000000000008</v>
      </c>
      <c r="N160" s="9">
        <f t="shared" ref="N160" si="780">M160*0.21</f>
        <v>0.17556000000000002</v>
      </c>
      <c r="O160" s="477">
        <f t="shared" ref="O160" si="781">M160+N160</f>
        <v>1.01156</v>
      </c>
    </row>
  </sheetData>
  <mergeCells count="5">
    <mergeCell ref="A1:C4"/>
    <mergeCell ref="E10:F10"/>
    <mergeCell ref="L10:O10"/>
    <mergeCell ref="A6:D7"/>
    <mergeCell ref="A8:D9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O153"/>
  <sheetViews>
    <sheetView zoomScale="90" zoomScaleNormal="90" workbookViewId="0">
      <selection activeCell="D158" sqref="D158"/>
    </sheetView>
  </sheetViews>
  <sheetFormatPr defaultRowHeight="14.4" x14ac:dyDescent="0.3"/>
  <cols>
    <col min="2" max="2" width="37.88671875" customWidth="1"/>
    <col min="3" max="3" width="17.6640625" customWidth="1"/>
    <col min="4" max="4" width="16" customWidth="1"/>
    <col min="5" max="5" width="8.44140625" customWidth="1"/>
    <col min="6" max="6" width="8.6640625" customWidth="1"/>
    <col min="7" max="7" width="11.5546875" customWidth="1"/>
    <col min="8" max="8" width="15.5546875" customWidth="1"/>
    <col min="9" max="9" width="7.44140625" customWidth="1"/>
    <col min="10" max="10" width="11.5546875" customWidth="1"/>
    <col min="13" max="13" width="16.44140625" customWidth="1"/>
    <col min="15" max="15" width="12.44140625" customWidth="1"/>
  </cols>
  <sheetData>
    <row r="1" spans="1:15" x14ac:dyDescent="0.3">
      <c r="A1" s="518"/>
      <c r="B1" s="519"/>
      <c r="C1" s="519"/>
      <c r="D1" s="520"/>
    </row>
    <row r="2" spans="1:15" x14ac:dyDescent="0.3">
      <c r="A2" s="521"/>
      <c r="B2" s="522"/>
      <c r="C2" s="522"/>
      <c r="D2" s="523"/>
    </row>
    <row r="3" spans="1:15" x14ac:dyDescent="0.3">
      <c r="A3" s="521"/>
      <c r="B3" s="522"/>
      <c r="C3" s="522"/>
      <c r="D3" s="523"/>
    </row>
    <row r="4" spans="1:15" x14ac:dyDescent="0.3">
      <c r="A4" s="524"/>
      <c r="B4" s="525"/>
      <c r="C4" s="525"/>
      <c r="D4" s="526"/>
    </row>
    <row r="6" spans="1:15" ht="14.4" customHeight="1" x14ac:dyDescent="0.3">
      <c r="A6" s="527" t="s">
        <v>1657</v>
      </c>
      <c r="B6" s="528"/>
      <c r="C6" s="528"/>
      <c r="D6" s="529"/>
    </row>
    <row r="7" spans="1:15" ht="14.4" customHeight="1" x14ac:dyDescent="0.3">
      <c r="A7" s="530"/>
      <c r="B7" s="531"/>
      <c r="C7" s="531"/>
      <c r="D7" s="532"/>
    </row>
    <row r="8" spans="1:15" ht="14.4" customHeight="1" x14ac:dyDescent="0.3">
      <c r="A8" s="533" t="s">
        <v>2218</v>
      </c>
      <c r="B8" s="534"/>
      <c r="C8" s="534"/>
      <c r="D8" s="535"/>
    </row>
    <row r="9" spans="1:15" ht="14.4" customHeight="1" x14ac:dyDescent="0.3">
      <c r="A9" s="536"/>
      <c r="B9" s="537"/>
      <c r="C9" s="537"/>
      <c r="D9" s="538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8.7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x14ac:dyDescent="0.3">
      <c r="A12" s="101" t="s">
        <v>38</v>
      </c>
      <c r="B12" s="102" t="s">
        <v>39</v>
      </c>
      <c r="C12" s="103" t="s">
        <v>1655</v>
      </c>
      <c r="D12" s="104">
        <v>8.65</v>
      </c>
      <c r="E12" s="105">
        <v>0.05</v>
      </c>
      <c r="F12" s="181">
        <v>0.13</v>
      </c>
      <c r="G12" s="2">
        <f t="shared" ref="G12:G18" si="0">D12*E12</f>
        <v>0.43250000000000005</v>
      </c>
      <c r="H12" s="106">
        <f t="shared" ref="H12:H18" si="1">G12+D12</f>
        <v>9.0824999999999996</v>
      </c>
      <c r="I12" s="9">
        <f t="shared" ref="I12:I18" si="2">H12*0.21</f>
        <v>1.9073249999999999</v>
      </c>
      <c r="J12" s="107">
        <f t="shared" ref="J12:J18" si="3">H12+I12</f>
        <v>10.989825</v>
      </c>
      <c r="L12" s="153">
        <f t="shared" ref="L12:L18" si="4">D12*F12</f>
        <v>1.1245000000000001</v>
      </c>
      <c r="M12" s="106">
        <f t="shared" ref="M12:M18" si="5">D12+L12</f>
        <v>9.7744999999999997</v>
      </c>
      <c r="N12" s="9">
        <f t="shared" ref="N12:N18" si="6">M12*0.21</f>
        <v>2.0526450000000001</v>
      </c>
      <c r="O12" s="107">
        <f t="shared" ref="O12:O18" si="7">M12+N12</f>
        <v>11.827145</v>
      </c>
    </row>
    <row r="13" spans="1:15" x14ac:dyDescent="0.3">
      <c r="A13" s="101" t="s">
        <v>111</v>
      </c>
      <c r="B13" s="102" t="s">
        <v>112</v>
      </c>
      <c r="C13" s="103" t="s">
        <v>1655</v>
      </c>
      <c r="D13" s="104">
        <v>9.77</v>
      </c>
      <c r="E13" s="105">
        <v>0.05</v>
      </c>
      <c r="F13" s="181">
        <v>0.13</v>
      </c>
      <c r="G13" s="2">
        <f t="shared" si="0"/>
        <v>0.48849999999999999</v>
      </c>
      <c r="H13" s="106">
        <f t="shared" si="1"/>
        <v>10.2585</v>
      </c>
      <c r="I13" s="9">
        <f t="shared" si="2"/>
        <v>2.1542849999999998</v>
      </c>
      <c r="J13" s="107">
        <f t="shared" si="3"/>
        <v>12.412785</v>
      </c>
      <c r="L13" s="153">
        <f t="shared" si="4"/>
        <v>1.2701</v>
      </c>
      <c r="M13" s="106">
        <f t="shared" si="5"/>
        <v>11.040099999999999</v>
      </c>
      <c r="N13" s="9">
        <f t="shared" si="6"/>
        <v>2.3184209999999998</v>
      </c>
      <c r="O13" s="107">
        <f t="shared" si="7"/>
        <v>13.358521</v>
      </c>
    </row>
    <row r="14" spans="1:15" x14ac:dyDescent="0.3">
      <c r="A14" s="101" t="s">
        <v>113</v>
      </c>
      <c r="B14" s="102" t="s">
        <v>114</v>
      </c>
      <c r="C14" s="103" t="s">
        <v>1655</v>
      </c>
      <c r="D14" s="104">
        <v>10.89</v>
      </c>
      <c r="E14" s="105">
        <v>0.05</v>
      </c>
      <c r="F14" s="181">
        <v>0.13</v>
      </c>
      <c r="G14" s="2">
        <f t="shared" si="0"/>
        <v>0.5445000000000001</v>
      </c>
      <c r="H14" s="106">
        <f t="shared" si="1"/>
        <v>11.4345</v>
      </c>
      <c r="I14" s="9">
        <f t="shared" si="2"/>
        <v>2.4012449999999999</v>
      </c>
      <c r="J14" s="107">
        <f t="shared" si="3"/>
        <v>13.835744999999999</v>
      </c>
      <c r="L14" s="153">
        <f t="shared" si="4"/>
        <v>1.4157000000000002</v>
      </c>
      <c r="M14" s="106">
        <f t="shared" si="5"/>
        <v>12.305700000000002</v>
      </c>
      <c r="N14" s="9">
        <f t="shared" si="6"/>
        <v>2.5841970000000001</v>
      </c>
      <c r="O14" s="107">
        <f t="shared" si="7"/>
        <v>14.889897000000001</v>
      </c>
    </row>
    <row r="15" spans="1:15" x14ac:dyDescent="0.3">
      <c r="A15" s="101" t="s">
        <v>209</v>
      </c>
      <c r="B15" s="102" t="s">
        <v>211</v>
      </c>
      <c r="C15" s="103" t="s">
        <v>1655</v>
      </c>
      <c r="D15" s="104">
        <v>12.01</v>
      </c>
      <c r="E15" s="105">
        <v>0.05</v>
      </c>
      <c r="F15" s="181">
        <v>0.13</v>
      </c>
      <c r="G15" s="2">
        <f t="shared" si="0"/>
        <v>0.60050000000000003</v>
      </c>
      <c r="H15" s="106">
        <f t="shared" si="1"/>
        <v>12.6105</v>
      </c>
      <c r="I15" s="9">
        <f t="shared" si="2"/>
        <v>2.6482049999999999</v>
      </c>
      <c r="J15" s="107">
        <f t="shared" si="3"/>
        <v>15.258704999999999</v>
      </c>
      <c r="L15" s="153">
        <f t="shared" si="4"/>
        <v>1.5613000000000001</v>
      </c>
      <c r="M15" s="106">
        <f t="shared" si="5"/>
        <v>13.571300000000001</v>
      </c>
      <c r="N15" s="9">
        <f t="shared" si="6"/>
        <v>2.8499729999999999</v>
      </c>
      <c r="O15" s="107">
        <f t="shared" si="7"/>
        <v>16.421272999999999</v>
      </c>
    </row>
    <row r="16" spans="1:15" x14ac:dyDescent="0.3">
      <c r="A16" s="101" t="s">
        <v>210</v>
      </c>
      <c r="B16" s="102" t="s">
        <v>212</v>
      </c>
      <c r="C16" s="103" t="s">
        <v>1655</v>
      </c>
      <c r="D16" s="104">
        <v>13.13</v>
      </c>
      <c r="E16" s="105">
        <v>0.05</v>
      </c>
      <c r="F16" s="181">
        <v>0.13</v>
      </c>
      <c r="G16" s="2">
        <f t="shared" si="0"/>
        <v>0.65650000000000008</v>
      </c>
      <c r="H16" s="106">
        <f t="shared" si="1"/>
        <v>13.7865</v>
      </c>
      <c r="I16" s="9">
        <f t="shared" si="2"/>
        <v>2.895165</v>
      </c>
      <c r="J16" s="107">
        <f t="shared" si="3"/>
        <v>16.681664999999999</v>
      </c>
      <c r="L16" s="153">
        <f t="shared" si="4"/>
        <v>1.7069000000000001</v>
      </c>
      <c r="M16" s="106">
        <f t="shared" si="5"/>
        <v>14.8369</v>
      </c>
      <c r="N16" s="9">
        <f t="shared" si="6"/>
        <v>3.1157490000000001</v>
      </c>
      <c r="O16" s="107">
        <f t="shared" si="7"/>
        <v>17.952649000000001</v>
      </c>
    </row>
    <row r="17" spans="1:15" x14ac:dyDescent="0.3">
      <c r="A17" s="101" t="s">
        <v>213</v>
      </c>
      <c r="B17" s="102" t="s">
        <v>214</v>
      </c>
      <c r="C17" s="103" t="s">
        <v>1655</v>
      </c>
      <c r="D17" s="104">
        <v>14.25</v>
      </c>
      <c r="E17" s="105">
        <v>0.05</v>
      </c>
      <c r="F17" s="181">
        <v>0.13</v>
      </c>
      <c r="G17" s="2">
        <f t="shared" si="0"/>
        <v>0.71250000000000002</v>
      </c>
      <c r="H17" s="106">
        <f t="shared" si="1"/>
        <v>14.9625</v>
      </c>
      <c r="I17" s="9">
        <f t="shared" si="2"/>
        <v>3.1421250000000001</v>
      </c>
      <c r="J17" s="107">
        <f t="shared" si="3"/>
        <v>18.104624999999999</v>
      </c>
      <c r="L17" s="153">
        <f t="shared" si="4"/>
        <v>1.8525</v>
      </c>
      <c r="M17" s="106">
        <f t="shared" si="5"/>
        <v>16.102499999999999</v>
      </c>
      <c r="N17" s="9">
        <f t="shared" si="6"/>
        <v>3.3815249999999999</v>
      </c>
      <c r="O17" s="107">
        <f t="shared" si="7"/>
        <v>19.484024999999999</v>
      </c>
    </row>
    <row r="18" spans="1:15" x14ac:dyDescent="0.3">
      <c r="A18" s="101" t="s">
        <v>215</v>
      </c>
      <c r="B18" s="102" t="s">
        <v>216</v>
      </c>
      <c r="C18" s="103" t="s">
        <v>1655</v>
      </c>
      <c r="D18" s="104">
        <v>15.37</v>
      </c>
      <c r="E18" s="105">
        <v>0.05</v>
      </c>
      <c r="F18" s="181">
        <v>0.13</v>
      </c>
      <c r="G18" s="2">
        <f t="shared" si="0"/>
        <v>0.76849999999999996</v>
      </c>
      <c r="H18" s="106">
        <f t="shared" si="1"/>
        <v>16.138500000000001</v>
      </c>
      <c r="I18" s="9">
        <f t="shared" si="2"/>
        <v>3.3890850000000001</v>
      </c>
      <c r="J18" s="107">
        <f t="shared" si="3"/>
        <v>19.527585000000002</v>
      </c>
      <c r="L18" s="153">
        <f t="shared" si="4"/>
        <v>1.9981</v>
      </c>
      <c r="M18" s="106">
        <f t="shared" si="5"/>
        <v>17.368099999999998</v>
      </c>
      <c r="N18" s="9">
        <f t="shared" si="6"/>
        <v>3.6473009999999997</v>
      </c>
      <c r="O18" s="107">
        <f t="shared" si="7"/>
        <v>21.015400999999997</v>
      </c>
    </row>
    <row r="19" spans="1:15" x14ac:dyDescent="0.3">
      <c r="A19" s="101" t="s">
        <v>366</v>
      </c>
      <c r="B19" s="102" t="s">
        <v>367</v>
      </c>
      <c r="C19" s="103" t="s">
        <v>1655</v>
      </c>
      <c r="D19" s="104">
        <v>16.489999999999998</v>
      </c>
      <c r="E19" s="105">
        <v>0.05</v>
      </c>
      <c r="F19" s="181">
        <v>0.13</v>
      </c>
      <c r="G19" s="2">
        <f t="shared" ref="G19" si="8">D19*E19</f>
        <v>0.82450000000000001</v>
      </c>
      <c r="H19" s="106">
        <f t="shared" ref="H19" si="9">G19+D19</f>
        <v>17.314499999999999</v>
      </c>
      <c r="I19" s="9">
        <f t="shared" ref="I19" si="10">H19*0.21</f>
        <v>3.6360449999999997</v>
      </c>
      <c r="J19" s="107">
        <f t="shared" ref="J19" si="11">H19+I19</f>
        <v>20.950544999999998</v>
      </c>
      <c r="L19" s="153">
        <f t="shared" ref="L19" si="12">D19*F19</f>
        <v>2.1436999999999999</v>
      </c>
      <c r="M19" s="106">
        <f t="shared" ref="M19" si="13">D19+L19</f>
        <v>18.633699999999997</v>
      </c>
      <c r="N19" s="9">
        <f t="shared" ref="N19" si="14">M19*0.21</f>
        <v>3.9130769999999995</v>
      </c>
      <c r="O19" s="107">
        <f t="shared" ref="O19" si="15">M19+N19</f>
        <v>22.546776999999999</v>
      </c>
    </row>
    <row r="20" spans="1:15" x14ac:dyDescent="0.3">
      <c r="A20" s="101" t="s">
        <v>368</v>
      </c>
      <c r="B20" s="102" t="s">
        <v>369</v>
      </c>
      <c r="C20" s="103" t="s">
        <v>1655</v>
      </c>
      <c r="D20" s="104">
        <v>17.61</v>
      </c>
      <c r="E20" s="105">
        <v>0.05</v>
      </c>
      <c r="F20" s="181">
        <v>0.13</v>
      </c>
      <c r="G20" s="2">
        <f t="shared" ref="G20" si="16">D20*E20</f>
        <v>0.88050000000000006</v>
      </c>
      <c r="H20" s="106">
        <f t="shared" ref="H20" si="17">G20+D20</f>
        <v>18.490500000000001</v>
      </c>
      <c r="I20" s="9">
        <f t="shared" ref="I20" si="18">H20*0.21</f>
        <v>3.8830049999999998</v>
      </c>
      <c r="J20" s="107">
        <f t="shared" ref="J20" si="19">H20+I20</f>
        <v>22.373505000000002</v>
      </c>
      <c r="L20" s="153">
        <f t="shared" ref="L20" si="20">D20*F20</f>
        <v>2.2892999999999999</v>
      </c>
      <c r="M20" s="106">
        <f t="shared" ref="M20" si="21">D20+L20</f>
        <v>19.8993</v>
      </c>
      <c r="N20" s="9">
        <f t="shared" ref="N20" si="22">M20*0.21</f>
        <v>4.1788530000000002</v>
      </c>
      <c r="O20" s="107">
        <f t="shared" ref="O20" si="23">M20+N20</f>
        <v>24.078153</v>
      </c>
    </row>
    <row r="21" spans="1:15" x14ac:dyDescent="0.3">
      <c r="A21" s="101" t="s">
        <v>370</v>
      </c>
      <c r="B21" s="102" t="s">
        <v>371</v>
      </c>
      <c r="C21" s="103" t="s">
        <v>1655</v>
      </c>
      <c r="D21" s="104">
        <v>18.73</v>
      </c>
      <c r="E21" s="105">
        <v>0.05</v>
      </c>
      <c r="F21" s="181">
        <v>0.13</v>
      </c>
      <c r="G21" s="2">
        <f t="shared" ref="G21" si="24">D21*E21</f>
        <v>0.93650000000000011</v>
      </c>
      <c r="H21" s="106">
        <f t="shared" ref="H21" si="25">G21+D21</f>
        <v>19.666499999999999</v>
      </c>
      <c r="I21" s="9">
        <f t="shared" ref="I21" si="26">H21*0.21</f>
        <v>4.1299649999999994</v>
      </c>
      <c r="J21" s="107">
        <f t="shared" ref="J21" si="27">H21+I21</f>
        <v>23.796464999999998</v>
      </c>
      <c r="L21" s="153">
        <f t="shared" ref="L21" si="28">D21*F21</f>
        <v>2.4349000000000003</v>
      </c>
      <c r="M21" s="106">
        <f t="shared" ref="M21" si="29">D21+L21</f>
        <v>21.164899999999999</v>
      </c>
      <c r="N21" s="9">
        <f t="shared" ref="N21" si="30">M21*0.21</f>
        <v>4.4446289999999999</v>
      </c>
      <c r="O21" s="107">
        <f t="shared" ref="O21" si="31">M21+N21</f>
        <v>25.609528999999998</v>
      </c>
    </row>
    <row r="22" spans="1:15" x14ac:dyDescent="0.3">
      <c r="A22" s="101" t="s">
        <v>372</v>
      </c>
      <c r="B22" s="102" t="s">
        <v>373</v>
      </c>
      <c r="C22" s="103" t="s">
        <v>1655</v>
      </c>
      <c r="D22" s="104">
        <v>19.850000000000001</v>
      </c>
      <c r="E22" s="105">
        <v>0.05</v>
      </c>
      <c r="F22" s="181">
        <v>0.13</v>
      </c>
      <c r="G22" s="2">
        <f t="shared" ref="G22" si="32">D22*E22</f>
        <v>0.99250000000000016</v>
      </c>
      <c r="H22" s="106">
        <f t="shared" ref="H22" si="33">G22+D22</f>
        <v>20.842500000000001</v>
      </c>
      <c r="I22" s="9">
        <f t="shared" ref="I22" si="34">H22*0.21</f>
        <v>4.376925</v>
      </c>
      <c r="J22" s="107">
        <f t="shared" ref="J22" si="35">H22+I22</f>
        <v>25.219425000000001</v>
      </c>
      <c r="L22" s="153">
        <f t="shared" ref="L22" si="36">D22*F22</f>
        <v>2.5805000000000002</v>
      </c>
      <c r="M22" s="106">
        <f t="shared" ref="M22" si="37">D22+L22</f>
        <v>22.430500000000002</v>
      </c>
      <c r="N22" s="9">
        <f t="shared" ref="N22" si="38">M22*0.21</f>
        <v>4.7104050000000006</v>
      </c>
      <c r="O22" s="107">
        <f t="shared" ref="O22" si="39">M22+N22</f>
        <v>27.140905000000004</v>
      </c>
    </row>
    <row r="23" spans="1:15" x14ac:dyDescent="0.3">
      <c r="A23" s="101" t="s">
        <v>374</v>
      </c>
      <c r="B23" s="102" t="s">
        <v>375</v>
      </c>
      <c r="C23" s="103" t="s">
        <v>1655</v>
      </c>
      <c r="D23" s="104">
        <v>20.97</v>
      </c>
      <c r="E23" s="105">
        <v>0.05</v>
      </c>
      <c r="F23" s="181">
        <v>0.13</v>
      </c>
      <c r="G23" s="2">
        <f t="shared" ref="G23" si="40">D23*E23</f>
        <v>1.0485</v>
      </c>
      <c r="H23" s="106">
        <f t="shared" ref="H23" si="41">G23+D23</f>
        <v>22.0185</v>
      </c>
      <c r="I23" s="9">
        <f t="shared" ref="I23" si="42">H23*0.21</f>
        <v>4.6238849999999996</v>
      </c>
      <c r="J23" s="107">
        <f t="shared" ref="J23" si="43">H23+I23</f>
        <v>26.642384999999997</v>
      </c>
      <c r="L23" s="153">
        <f t="shared" ref="L23" si="44">D23*F23</f>
        <v>2.7260999999999997</v>
      </c>
      <c r="M23" s="106">
        <f t="shared" ref="M23" si="45">D23+L23</f>
        <v>23.696099999999998</v>
      </c>
      <c r="N23" s="9">
        <f t="shared" ref="N23" si="46">M23*0.21</f>
        <v>4.9761809999999995</v>
      </c>
      <c r="O23" s="107">
        <f t="shared" ref="O23" si="47">M23+N23</f>
        <v>28.672280999999998</v>
      </c>
    </row>
    <row r="24" spans="1:15" x14ac:dyDescent="0.3">
      <c r="A24" s="101" t="s">
        <v>396</v>
      </c>
      <c r="B24" s="102" t="s">
        <v>397</v>
      </c>
      <c r="C24" s="103" t="s">
        <v>1655</v>
      </c>
      <c r="D24" s="104">
        <v>22.09</v>
      </c>
      <c r="E24" s="105">
        <v>0.05</v>
      </c>
      <c r="F24" s="181">
        <v>0.13</v>
      </c>
      <c r="G24" s="2">
        <f t="shared" ref="G24" si="48">D24*E24</f>
        <v>1.1045</v>
      </c>
      <c r="H24" s="106">
        <f t="shared" ref="H24" si="49">G24+D24</f>
        <v>23.194500000000001</v>
      </c>
      <c r="I24" s="9">
        <f t="shared" ref="I24" si="50">H24*0.21</f>
        <v>4.8708450000000001</v>
      </c>
      <c r="J24" s="107">
        <f t="shared" ref="J24" si="51">H24+I24</f>
        <v>28.065345000000001</v>
      </c>
      <c r="L24" s="153">
        <f t="shared" ref="L24" si="52">D24*F24</f>
        <v>2.8717000000000001</v>
      </c>
      <c r="M24" s="106">
        <f t="shared" ref="M24" si="53">D24+L24</f>
        <v>24.9617</v>
      </c>
      <c r="N24" s="9">
        <f t="shared" ref="N24" si="54">M24*0.21</f>
        <v>5.2419570000000002</v>
      </c>
      <c r="O24" s="107">
        <f t="shared" ref="O24" si="55">M24+N24</f>
        <v>30.203657</v>
      </c>
    </row>
    <row r="25" spans="1:15" x14ac:dyDescent="0.3">
      <c r="A25" s="101" t="s">
        <v>398</v>
      </c>
      <c r="B25" s="102" t="s">
        <v>399</v>
      </c>
      <c r="C25" s="103" t="s">
        <v>1655</v>
      </c>
      <c r="D25" s="104">
        <v>23.21</v>
      </c>
      <c r="E25" s="105">
        <v>0.05</v>
      </c>
      <c r="F25" s="181">
        <v>0.13</v>
      </c>
      <c r="G25" s="2">
        <f t="shared" ref="G25" si="56">D25*E25</f>
        <v>1.1605000000000001</v>
      </c>
      <c r="H25" s="106">
        <f t="shared" ref="H25" si="57">G25+D25</f>
        <v>24.3705</v>
      </c>
      <c r="I25" s="9">
        <f t="shared" ref="I25" si="58">H25*0.21</f>
        <v>5.1178049999999997</v>
      </c>
      <c r="J25" s="107">
        <f t="shared" ref="J25" si="59">H25+I25</f>
        <v>29.488305</v>
      </c>
      <c r="L25" s="153">
        <f t="shared" ref="L25" si="60">D25*F25</f>
        <v>3.0173000000000001</v>
      </c>
      <c r="M25" s="106">
        <f t="shared" ref="M25" si="61">D25+L25</f>
        <v>26.2273</v>
      </c>
      <c r="N25" s="9">
        <f t="shared" ref="N25" si="62">M25*0.21</f>
        <v>5.507733</v>
      </c>
      <c r="O25" s="107">
        <f t="shared" ref="O25" si="63">M25+N25</f>
        <v>31.735033000000001</v>
      </c>
    </row>
    <row r="26" spans="1:15" x14ac:dyDescent="0.3">
      <c r="A26" s="101" t="s">
        <v>400</v>
      </c>
      <c r="B26" s="102" t="s">
        <v>401</v>
      </c>
      <c r="C26" s="103" t="s">
        <v>1655</v>
      </c>
      <c r="D26" s="104">
        <v>24.33</v>
      </c>
      <c r="E26" s="105">
        <v>0.05</v>
      </c>
      <c r="F26" s="181">
        <v>0.13</v>
      </c>
      <c r="G26" s="2">
        <f t="shared" ref="G26" si="64">D26*E26</f>
        <v>1.2164999999999999</v>
      </c>
      <c r="H26" s="106">
        <f t="shared" ref="H26" si="65">G26+D26</f>
        <v>25.546499999999998</v>
      </c>
      <c r="I26" s="9">
        <f t="shared" ref="I26" si="66">H26*0.21</f>
        <v>5.3647649999999993</v>
      </c>
      <c r="J26" s="107">
        <f t="shared" ref="J26" si="67">H26+I26</f>
        <v>30.911264999999997</v>
      </c>
      <c r="L26" s="153">
        <f t="shared" ref="L26" si="68">D26*F26</f>
        <v>3.1629</v>
      </c>
      <c r="M26" s="106">
        <f t="shared" ref="M26" si="69">D26+L26</f>
        <v>27.492899999999999</v>
      </c>
      <c r="N26" s="9">
        <f t="shared" ref="N26" si="70">M26*0.21</f>
        <v>5.7735089999999998</v>
      </c>
      <c r="O26" s="107">
        <f t="shared" ref="O26" si="71">M26+N26</f>
        <v>33.266408999999996</v>
      </c>
    </row>
    <row r="27" spans="1:15" x14ac:dyDescent="0.3">
      <c r="A27" s="101" t="s">
        <v>402</v>
      </c>
      <c r="B27" s="102" t="s">
        <v>403</v>
      </c>
      <c r="C27" s="103" t="s">
        <v>1655</v>
      </c>
      <c r="D27" s="104">
        <v>25.45</v>
      </c>
      <c r="E27" s="105">
        <v>0.05</v>
      </c>
      <c r="F27" s="181">
        <v>0.13</v>
      </c>
      <c r="G27" s="2">
        <f t="shared" ref="G27" si="72">D27*E27</f>
        <v>1.2725</v>
      </c>
      <c r="H27" s="106">
        <f t="shared" ref="H27" si="73">G27+D27</f>
        <v>26.7225</v>
      </c>
      <c r="I27" s="9">
        <f t="shared" ref="I27" si="74">H27*0.21</f>
        <v>5.6117249999999999</v>
      </c>
      <c r="J27" s="107">
        <f t="shared" ref="J27" si="75">H27+I27</f>
        <v>32.334225000000004</v>
      </c>
      <c r="L27" s="153">
        <f t="shared" ref="L27" si="76">D27*F27</f>
        <v>3.3085</v>
      </c>
      <c r="M27" s="106">
        <f t="shared" ref="M27" si="77">D27+L27</f>
        <v>28.758499999999998</v>
      </c>
      <c r="N27" s="9">
        <f t="shared" ref="N27" si="78">M27*0.21</f>
        <v>6.0392849999999996</v>
      </c>
      <c r="O27" s="107">
        <f t="shared" ref="O27" si="79">M27+N27</f>
        <v>34.797784999999998</v>
      </c>
    </row>
    <row r="28" spans="1:15" x14ac:dyDescent="0.3">
      <c r="A28" s="101" t="s">
        <v>404</v>
      </c>
      <c r="B28" s="102" t="s">
        <v>405</v>
      </c>
      <c r="C28" s="103" t="s">
        <v>1655</v>
      </c>
      <c r="D28" s="104">
        <v>26.57</v>
      </c>
      <c r="E28" s="105">
        <v>0.05</v>
      </c>
      <c r="F28" s="181">
        <v>0.13</v>
      </c>
      <c r="G28" s="2">
        <f t="shared" ref="G28" si="80">D28*E28</f>
        <v>1.3285</v>
      </c>
      <c r="H28" s="106">
        <f t="shared" ref="H28" si="81">G28+D28</f>
        <v>27.898499999999999</v>
      </c>
      <c r="I28" s="9">
        <f t="shared" ref="I28" si="82">H28*0.21</f>
        <v>5.8586849999999995</v>
      </c>
      <c r="J28" s="107">
        <f t="shared" ref="J28" si="83">H28+I28</f>
        <v>33.757185</v>
      </c>
      <c r="L28" s="153">
        <f t="shared" ref="L28" si="84">D28*F28</f>
        <v>3.4540999999999999</v>
      </c>
      <c r="M28" s="106">
        <f t="shared" ref="M28" si="85">D28+L28</f>
        <v>30.024100000000001</v>
      </c>
      <c r="N28" s="9">
        <f t="shared" ref="N28" si="86">M28*0.21</f>
        <v>6.3050610000000002</v>
      </c>
      <c r="O28" s="107">
        <f t="shared" ref="O28" si="87">M28+N28</f>
        <v>36.329160999999999</v>
      </c>
    </row>
    <row r="29" spans="1:15" x14ac:dyDescent="0.3">
      <c r="A29" s="101" t="s">
        <v>406</v>
      </c>
      <c r="B29" s="102" t="s">
        <v>407</v>
      </c>
      <c r="C29" s="103" t="s">
        <v>1655</v>
      </c>
      <c r="D29" s="104">
        <v>27.69</v>
      </c>
      <c r="E29" s="105">
        <v>0.05</v>
      </c>
      <c r="F29" s="181">
        <v>0.13</v>
      </c>
      <c r="G29" s="2">
        <f t="shared" ref="G29" si="88">D29*E29</f>
        <v>1.3845000000000001</v>
      </c>
      <c r="H29" s="106">
        <f t="shared" ref="H29" si="89">G29+D29</f>
        <v>29.0745</v>
      </c>
      <c r="I29" s="9">
        <f t="shared" ref="I29" si="90">H29*0.21</f>
        <v>6.105645</v>
      </c>
      <c r="J29" s="107">
        <f t="shared" ref="J29" si="91">H29+I29</f>
        <v>35.180145000000003</v>
      </c>
      <c r="L29" s="153">
        <f t="shared" ref="L29" si="92">D29*F29</f>
        <v>3.5997000000000003</v>
      </c>
      <c r="M29" s="106">
        <f t="shared" ref="M29" si="93">D29+L29</f>
        <v>31.289700000000003</v>
      </c>
      <c r="N29" s="9">
        <f t="shared" ref="N29" si="94">M29*0.21</f>
        <v>6.570837</v>
      </c>
      <c r="O29" s="107">
        <f t="shared" ref="O29" si="95">M29+N29</f>
        <v>37.860537000000001</v>
      </c>
    </row>
    <row r="30" spans="1:15" x14ac:dyDescent="0.3">
      <c r="A30" s="101" t="s">
        <v>412</v>
      </c>
      <c r="B30" s="102" t="s">
        <v>413</v>
      </c>
      <c r="C30" s="103" t="s">
        <v>1655</v>
      </c>
      <c r="D30" s="104">
        <v>28.81</v>
      </c>
      <c r="E30" s="105">
        <v>0.05</v>
      </c>
      <c r="F30" s="181">
        <v>0.13</v>
      </c>
      <c r="G30" s="2">
        <f t="shared" ref="G30" si="96">D30*E30</f>
        <v>1.4405000000000001</v>
      </c>
      <c r="H30" s="106">
        <f t="shared" ref="H30" si="97">G30+D30</f>
        <v>30.250499999999999</v>
      </c>
      <c r="I30" s="9">
        <f t="shared" ref="I30" si="98">H30*0.21</f>
        <v>6.3526049999999996</v>
      </c>
      <c r="J30" s="107">
        <f t="shared" ref="J30" si="99">H30+I30</f>
        <v>36.603104999999999</v>
      </c>
      <c r="L30" s="153">
        <f t="shared" ref="L30" si="100">D30*F30</f>
        <v>3.7452999999999999</v>
      </c>
      <c r="M30" s="106">
        <f t="shared" ref="M30" si="101">D30+L30</f>
        <v>32.555299999999995</v>
      </c>
      <c r="N30" s="9">
        <f t="shared" ref="N30" si="102">M30*0.21</f>
        <v>6.8366129999999989</v>
      </c>
      <c r="O30" s="107">
        <f t="shared" ref="O30" si="103">M30+N30</f>
        <v>39.391912999999995</v>
      </c>
    </row>
    <row r="31" spans="1:15" x14ac:dyDescent="0.3">
      <c r="A31" s="101" t="s">
        <v>414</v>
      </c>
      <c r="B31" s="102" t="s">
        <v>415</v>
      </c>
      <c r="C31" s="103" t="s">
        <v>1655</v>
      </c>
      <c r="D31" s="104">
        <v>29.93</v>
      </c>
      <c r="E31" s="105">
        <v>0.05</v>
      </c>
      <c r="F31" s="181">
        <v>0.13</v>
      </c>
      <c r="G31" s="2">
        <f t="shared" ref="G31" si="104">D31*E31</f>
        <v>1.4965000000000002</v>
      </c>
      <c r="H31" s="106">
        <f t="shared" ref="H31" si="105">G31+D31</f>
        <v>31.426500000000001</v>
      </c>
      <c r="I31" s="9">
        <f t="shared" ref="I31" si="106">H31*0.21</f>
        <v>6.5995650000000001</v>
      </c>
      <c r="J31" s="107">
        <f t="shared" ref="J31" si="107">H31+I31</f>
        <v>38.026065000000003</v>
      </c>
      <c r="L31" s="153">
        <f t="shared" ref="L31" si="108">D31*F31</f>
        <v>3.8909000000000002</v>
      </c>
      <c r="M31" s="106">
        <f t="shared" ref="M31" si="109">D31+L31</f>
        <v>33.820900000000002</v>
      </c>
      <c r="N31" s="9">
        <f t="shared" ref="N31" si="110">M31*0.21</f>
        <v>7.1023890000000005</v>
      </c>
      <c r="O31" s="107">
        <f t="shared" ref="O31" si="111">M31+N31</f>
        <v>40.923289000000004</v>
      </c>
    </row>
    <row r="32" spans="1:15" x14ac:dyDescent="0.3">
      <c r="A32" s="101" t="s">
        <v>424</v>
      </c>
      <c r="B32" s="102" t="s">
        <v>425</v>
      </c>
      <c r="C32" s="103" t="s">
        <v>1655</v>
      </c>
      <c r="D32" s="104">
        <v>31.05</v>
      </c>
      <c r="E32" s="105">
        <v>0.05</v>
      </c>
      <c r="F32" s="181">
        <v>0.13</v>
      </c>
      <c r="G32" s="2">
        <f t="shared" ref="G32" si="112">D32*E32</f>
        <v>1.5525000000000002</v>
      </c>
      <c r="H32" s="106">
        <f t="shared" ref="H32" si="113">G32+D32</f>
        <v>32.602499999999999</v>
      </c>
      <c r="I32" s="9">
        <f t="shared" ref="I32" si="114">H32*0.21</f>
        <v>6.8465249999999997</v>
      </c>
      <c r="J32" s="107">
        <f t="shared" ref="J32" si="115">H32+I32</f>
        <v>39.449024999999999</v>
      </c>
      <c r="L32" s="153">
        <f t="shared" ref="L32" si="116">D32*F32</f>
        <v>4.0365000000000002</v>
      </c>
      <c r="M32" s="106">
        <f t="shared" ref="M32" si="117">D32+L32</f>
        <v>35.086500000000001</v>
      </c>
      <c r="N32" s="9">
        <f t="shared" ref="N32" si="118">M32*0.21</f>
        <v>7.3681650000000003</v>
      </c>
      <c r="O32" s="107">
        <f t="shared" ref="O32" si="119">M32+N32</f>
        <v>42.454664999999999</v>
      </c>
    </row>
    <row r="33" spans="1:15" x14ac:dyDescent="0.3">
      <c r="A33" s="101" t="s">
        <v>567</v>
      </c>
      <c r="B33" s="102" t="s">
        <v>568</v>
      </c>
      <c r="C33" s="103" t="s">
        <v>1655</v>
      </c>
      <c r="D33" s="104">
        <v>32.17</v>
      </c>
      <c r="E33" s="105">
        <v>0.05</v>
      </c>
      <c r="F33" s="181">
        <v>0.13</v>
      </c>
      <c r="G33" s="2">
        <f t="shared" ref="G33" si="120">D33*E33</f>
        <v>1.6085000000000003</v>
      </c>
      <c r="H33" s="106">
        <f t="shared" ref="H33" si="121">G33+D33</f>
        <v>33.778500000000001</v>
      </c>
      <c r="I33" s="9">
        <f t="shared" ref="I33" si="122">H33*0.21</f>
        <v>7.0934850000000003</v>
      </c>
      <c r="J33" s="107">
        <f t="shared" ref="J33" si="123">H33+I33</f>
        <v>40.871985000000002</v>
      </c>
      <c r="L33" s="153">
        <f t="shared" ref="L33" si="124">D33*F33</f>
        <v>4.1821000000000002</v>
      </c>
      <c r="M33" s="106">
        <f t="shared" ref="M33" si="125">D33+L33</f>
        <v>36.3521</v>
      </c>
      <c r="N33" s="9">
        <f t="shared" ref="N33" si="126">M33*0.21</f>
        <v>7.6339410000000001</v>
      </c>
      <c r="O33" s="107">
        <f t="shared" ref="O33" si="127">M33+N33</f>
        <v>43.986041</v>
      </c>
    </row>
    <row r="34" spans="1:15" x14ac:dyDescent="0.3">
      <c r="A34" s="101" t="s">
        <v>860</v>
      </c>
      <c r="B34" s="102" t="s">
        <v>861</v>
      </c>
      <c r="C34" s="103" t="s">
        <v>1655</v>
      </c>
      <c r="D34" s="104">
        <v>33.29</v>
      </c>
      <c r="E34" s="105">
        <v>0.05</v>
      </c>
      <c r="F34" s="181">
        <v>0.13</v>
      </c>
      <c r="G34" s="2">
        <f t="shared" ref="G34" si="128">D34*E34</f>
        <v>1.6645000000000001</v>
      </c>
      <c r="H34" s="106">
        <f t="shared" ref="H34" si="129">G34+D34</f>
        <v>34.954499999999996</v>
      </c>
      <c r="I34" s="9">
        <f t="shared" ref="I34" si="130">H34*0.21</f>
        <v>7.340444999999999</v>
      </c>
      <c r="J34" s="107">
        <f t="shared" ref="J34" si="131">H34+I34</f>
        <v>42.294944999999998</v>
      </c>
      <c r="L34" s="153">
        <f t="shared" ref="L34" si="132">D34*F34</f>
        <v>4.3277000000000001</v>
      </c>
      <c r="M34" s="106">
        <f t="shared" ref="M34" si="133">D34+L34</f>
        <v>37.617699999999999</v>
      </c>
      <c r="N34" s="9">
        <f t="shared" ref="N34" si="134">M34*0.21</f>
        <v>7.8997169999999999</v>
      </c>
      <c r="O34" s="107">
        <f t="shared" ref="O34" si="135">M34+N34</f>
        <v>45.517417000000002</v>
      </c>
    </row>
    <row r="35" spans="1:15" x14ac:dyDescent="0.3">
      <c r="A35" s="101" t="s">
        <v>994</v>
      </c>
      <c r="B35" s="102" t="s">
        <v>995</v>
      </c>
      <c r="C35" s="103" t="s">
        <v>1655</v>
      </c>
      <c r="D35" s="104">
        <v>34.409999999999997</v>
      </c>
      <c r="E35" s="105">
        <v>0.05</v>
      </c>
      <c r="F35" s="181">
        <v>0.13</v>
      </c>
      <c r="G35" s="2">
        <f t="shared" ref="G35" si="136">D35*E35</f>
        <v>1.7204999999999999</v>
      </c>
      <c r="H35" s="106">
        <f t="shared" ref="H35" si="137">G35+D35</f>
        <v>36.130499999999998</v>
      </c>
      <c r="I35" s="9">
        <f t="shared" ref="I35" si="138">H35*0.21</f>
        <v>7.5874049999999995</v>
      </c>
      <c r="J35" s="107">
        <f t="shared" ref="J35" si="139">H35+I35</f>
        <v>43.717904999999995</v>
      </c>
      <c r="L35" s="153">
        <f t="shared" ref="L35" si="140">D35*F35</f>
        <v>4.4733000000000001</v>
      </c>
      <c r="M35" s="106">
        <f t="shared" ref="M35" si="141">D35+L35</f>
        <v>38.883299999999998</v>
      </c>
      <c r="N35" s="9">
        <f t="shared" ref="N35" si="142">M35*0.21</f>
        <v>8.1654929999999997</v>
      </c>
      <c r="O35" s="107">
        <f t="shared" ref="O35" si="143">M35+N35</f>
        <v>47.048792999999996</v>
      </c>
    </row>
    <row r="36" spans="1:15" x14ac:dyDescent="0.3">
      <c r="A36" s="101" t="s">
        <v>998</v>
      </c>
      <c r="B36" s="102" t="s">
        <v>999</v>
      </c>
      <c r="C36" s="103" t="s">
        <v>1655</v>
      </c>
      <c r="D36" s="104">
        <v>35.53</v>
      </c>
      <c r="E36" s="105">
        <v>0.05</v>
      </c>
      <c r="F36" s="181">
        <v>0.13</v>
      </c>
      <c r="G36" s="2">
        <f t="shared" ref="G36" si="144">D36*E36</f>
        <v>1.7765000000000002</v>
      </c>
      <c r="H36" s="106">
        <f t="shared" ref="H36" si="145">G36+D36</f>
        <v>37.3065</v>
      </c>
      <c r="I36" s="9">
        <f t="shared" ref="I36" si="146">H36*0.21</f>
        <v>7.834365</v>
      </c>
      <c r="J36" s="107">
        <f t="shared" ref="J36" si="147">H36+I36</f>
        <v>45.140864999999998</v>
      </c>
      <c r="L36" s="153">
        <f t="shared" ref="L36" si="148">D36*F36</f>
        <v>4.6189</v>
      </c>
      <c r="M36" s="106">
        <f t="shared" ref="M36" si="149">D36+L36</f>
        <v>40.148899999999998</v>
      </c>
      <c r="N36" s="9">
        <f t="shared" ref="N36" si="150">M36*0.21</f>
        <v>8.4312689999999986</v>
      </c>
      <c r="O36" s="107">
        <f t="shared" ref="O36" si="151">M36+N36</f>
        <v>48.580168999999998</v>
      </c>
    </row>
    <row r="37" spans="1:15" x14ac:dyDescent="0.3">
      <c r="A37" s="101" t="s">
        <v>1248</v>
      </c>
      <c r="B37" s="102" t="s">
        <v>1249</v>
      </c>
      <c r="C37" s="103" t="s">
        <v>1655</v>
      </c>
      <c r="D37" s="104">
        <v>36.65</v>
      </c>
      <c r="E37" s="105">
        <v>0.05</v>
      </c>
      <c r="F37" s="181">
        <v>0.13</v>
      </c>
      <c r="G37" s="2">
        <f t="shared" ref="G37" si="152">D37*E37</f>
        <v>1.8325</v>
      </c>
      <c r="H37" s="106">
        <f t="shared" ref="H37" si="153">G37+D37</f>
        <v>38.482500000000002</v>
      </c>
      <c r="I37" s="9">
        <f t="shared" ref="I37" si="154">H37*0.21</f>
        <v>8.0813249999999996</v>
      </c>
      <c r="J37" s="107">
        <f t="shared" ref="J37" si="155">H37+I37</f>
        <v>46.563825000000001</v>
      </c>
      <c r="L37" s="153">
        <f t="shared" ref="L37" si="156">D37*F37</f>
        <v>4.7645</v>
      </c>
      <c r="M37" s="106">
        <f t="shared" ref="M37" si="157">D37+L37</f>
        <v>41.414499999999997</v>
      </c>
      <c r="N37" s="9">
        <f t="shared" ref="N37" si="158">M37*0.21</f>
        <v>8.6970449999999992</v>
      </c>
      <c r="O37" s="107">
        <f t="shared" ref="O37" si="159">M37+N37</f>
        <v>50.111544999999992</v>
      </c>
    </row>
    <row r="38" spans="1:15" x14ac:dyDescent="0.3">
      <c r="A38" s="101" t="s">
        <v>1308</v>
      </c>
      <c r="B38" s="102" t="s">
        <v>1309</v>
      </c>
      <c r="C38" s="103" t="s">
        <v>1655</v>
      </c>
      <c r="D38" s="104">
        <v>37.770000000000003</v>
      </c>
      <c r="E38" s="105">
        <v>0.05</v>
      </c>
      <c r="F38" s="181">
        <v>0.13</v>
      </c>
      <c r="G38" s="2">
        <f t="shared" ref="G38" si="160">D38*E38</f>
        <v>1.8885000000000003</v>
      </c>
      <c r="H38" s="106">
        <f t="shared" ref="H38" si="161">G38+D38</f>
        <v>39.658500000000004</v>
      </c>
      <c r="I38" s="9">
        <f t="shared" ref="I38" si="162">H38*0.21</f>
        <v>8.328285000000001</v>
      </c>
      <c r="J38" s="107">
        <f t="shared" ref="J38" si="163">H38+I38</f>
        <v>47.986785000000005</v>
      </c>
      <c r="L38" s="153">
        <f t="shared" ref="L38" si="164">D38*F38</f>
        <v>4.9101000000000008</v>
      </c>
      <c r="M38" s="106">
        <f t="shared" ref="M38" si="165">D38+L38</f>
        <v>42.680100000000003</v>
      </c>
      <c r="N38" s="9">
        <f t="shared" ref="N38" si="166">M38*0.21</f>
        <v>8.9628209999999999</v>
      </c>
      <c r="O38" s="107">
        <f t="shared" ref="O38" si="167">M38+N38</f>
        <v>51.642921000000001</v>
      </c>
    </row>
    <row r="39" spans="1:15" x14ac:dyDescent="0.3">
      <c r="A39" s="101" t="s">
        <v>1310</v>
      </c>
      <c r="B39" s="102" t="s">
        <v>1311</v>
      </c>
      <c r="C39" s="103" t="s">
        <v>1655</v>
      </c>
      <c r="D39" s="104">
        <v>38.89</v>
      </c>
      <c r="E39" s="105">
        <v>0.05</v>
      </c>
      <c r="F39" s="181">
        <v>0.13</v>
      </c>
      <c r="G39" s="2">
        <f t="shared" ref="G39" si="168">D39*E39</f>
        <v>1.9445000000000001</v>
      </c>
      <c r="H39" s="106">
        <f t="shared" ref="H39" si="169">G39+D39</f>
        <v>40.834499999999998</v>
      </c>
      <c r="I39" s="9">
        <f t="shared" ref="I39" si="170">H39*0.21</f>
        <v>8.5752449999999989</v>
      </c>
      <c r="J39" s="107">
        <f t="shared" ref="J39" si="171">H39+I39</f>
        <v>49.409745000000001</v>
      </c>
      <c r="L39" s="153">
        <f t="shared" ref="L39" si="172">D39*F39</f>
        <v>5.0556999999999999</v>
      </c>
      <c r="M39" s="106">
        <f t="shared" ref="M39" si="173">D39+L39</f>
        <v>43.945700000000002</v>
      </c>
      <c r="N39" s="9">
        <f t="shared" ref="N39" si="174">M39*0.21</f>
        <v>9.2285970000000006</v>
      </c>
      <c r="O39" s="107">
        <f t="shared" ref="O39" si="175">M39+N39</f>
        <v>53.174297000000003</v>
      </c>
    </row>
    <row r="40" spans="1:15" x14ac:dyDescent="0.3">
      <c r="A40" s="101" t="s">
        <v>1312</v>
      </c>
      <c r="B40" s="102" t="s">
        <v>1313</v>
      </c>
      <c r="C40" s="103" t="s">
        <v>1655</v>
      </c>
      <c r="D40" s="104">
        <v>40.01</v>
      </c>
      <c r="E40" s="105">
        <v>0.05</v>
      </c>
      <c r="F40" s="181">
        <v>0.13</v>
      </c>
      <c r="G40" s="2">
        <f t="shared" ref="G40" si="176">D40*E40</f>
        <v>2.0005000000000002</v>
      </c>
      <c r="H40" s="106">
        <f t="shared" ref="H40" si="177">G40+D40</f>
        <v>42.0105</v>
      </c>
      <c r="I40" s="9">
        <f t="shared" ref="I40" si="178">H40*0.21</f>
        <v>8.8222050000000003</v>
      </c>
      <c r="J40" s="107">
        <f t="shared" ref="J40" si="179">H40+I40</f>
        <v>50.832705000000004</v>
      </c>
      <c r="L40" s="153">
        <f t="shared" ref="L40" si="180">D40*F40</f>
        <v>5.2012999999999998</v>
      </c>
      <c r="M40" s="106">
        <f t="shared" ref="M40" si="181">D40+L40</f>
        <v>45.211299999999994</v>
      </c>
      <c r="N40" s="9">
        <f t="shared" ref="N40" si="182">M40*0.21</f>
        <v>9.4943729999999977</v>
      </c>
      <c r="O40" s="107">
        <f t="shared" ref="O40" si="183">M40+N40</f>
        <v>54.70567299999999</v>
      </c>
    </row>
    <row r="41" spans="1:15" x14ac:dyDescent="0.3">
      <c r="A41" s="101" t="s">
        <v>1314</v>
      </c>
      <c r="B41" s="102" t="s">
        <v>1315</v>
      </c>
      <c r="C41" s="103" t="s">
        <v>1655</v>
      </c>
      <c r="D41" s="104">
        <v>41.13</v>
      </c>
      <c r="E41" s="105">
        <v>0.05</v>
      </c>
      <c r="F41" s="181">
        <v>0.13</v>
      </c>
      <c r="G41" s="2">
        <f t="shared" ref="G41" si="184">D41*E41</f>
        <v>2.0565000000000002</v>
      </c>
      <c r="H41" s="106">
        <f t="shared" ref="H41" si="185">G41+D41</f>
        <v>43.186500000000002</v>
      </c>
      <c r="I41" s="9">
        <f t="shared" ref="I41" si="186">H41*0.21</f>
        <v>9.0691649999999999</v>
      </c>
      <c r="J41" s="107">
        <f t="shared" ref="J41" si="187">H41+I41</f>
        <v>52.255665</v>
      </c>
      <c r="L41" s="153">
        <f t="shared" ref="L41" si="188">D41*F41</f>
        <v>5.3469000000000007</v>
      </c>
      <c r="M41" s="106">
        <f t="shared" ref="M41" si="189">D41+L41</f>
        <v>46.476900000000001</v>
      </c>
      <c r="N41" s="9">
        <f t="shared" ref="N41" si="190">M41*0.21</f>
        <v>9.7601490000000002</v>
      </c>
      <c r="O41" s="107">
        <f t="shared" ref="O41" si="191">M41+N41</f>
        <v>56.237048999999999</v>
      </c>
    </row>
    <row r="42" spans="1:15" x14ac:dyDescent="0.3">
      <c r="A42" s="101" t="s">
        <v>1345</v>
      </c>
      <c r="B42" s="102" t="s">
        <v>1449</v>
      </c>
      <c r="C42" s="103" t="s">
        <v>1655</v>
      </c>
      <c r="D42" s="104">
        <v>42.25</v>
      </c>
      <c r="E42" s="105">
        <v>0.05</v>
      </c>
      <c r="F42" s="181">
        <v>0.13</v>
      </c>
      <c r="G42" s="2">
        <f t="shared" ref="G42" si="192">D42*E42</f>
        <v>2.1125000000000003</v>
      </c>
      <c r="H42" s="106">
        <f t="shared" ref="H42" si="193">G42+D42</f>
        <v>44.362499999999997</v>
      </c>
      <c r="I42" s="9">
        <f t="shared" ref="I42" si="194">H42*0.21</f>
        <v>9.3161249999999995</v>
      </c>
      <c r="J42" s="107">
        <f t="shared" ref="J42" si="195">H42+I42</f>
        <v>53.678624999999997</v>
      </c>
      <c r="L42" s="153">
        <f t="shared" ref="L42" si="196">D42*F42</f>
        <v>5.4925000000000006</v>
      </c>
      <c r="M42" s="106">
        <f t="shared" ref="M42" si="197">D42+L42</f>
        <v>47.7425</v>
      </c>
      <c r="N42" s="9">
        <f t="shared" ref="N42" si="198">M42*0.21</f>
        <v>10.025924999999999</v>
      </c>
      <c r="O42" s="107">
        <f t="shared" ref="O42" si="199">M42+N42</f>
        <v>57.768425000000001</v>
      </c>
    </row>
    <row r="43" spans="1:15" x14ac:dyDescent="0.3">
      <c r="A43" s="101" t="s">
        <v>1346</v>
      </c>
      <c r="B43" s="102" t="s">
        <v>1450</v>
      </c>
      <c r="C43" s="103" t="s">
        <v>1655</v>
      </c>
      <c r="D43" s="104">
        <v>43.37</v>
      </c>
      <c r="E43" s="105">
        <v>0.05</v>
      </c>
      <c r="F43" s="181">
        <v>0.13</v>
      </c>
      <c r="G43" s="2">
        <f t="shared" ref="G43" si="200">D43*E43</f>
        <v>2.1684999999999999</v>
      </c>
      <c r="H43" s="106">
        <f t="shared" ref="H43" si="201">G43+D43</f>
        <v>45.538499999999999</v>
      </c>
      <c r="I43" s="9">
        <f t="shared" ref="I43" si="202">H43*0.21</f>
        <v>9.5630849999999992</v>
      </c>
      <c r="J43" s="107">
        <f t="shared" ref="J43" si="203">H43+I43</f>
        <v>55.101585</v>
      </c>
      <c r="L43" s="153">
        <f t="shared" ref="L43" si="204">D43*F43</f>
        <v>5.6380999999999997</v>
      </c>
      <c r="M43" s="106">
        <f t="shared" ref="M43" si="205">D43+L43</f>
        <v>49.008099999999999</v>
      </c>
      <c r="N43" s="9">
        <f t="shared" ref="N43" si="206">M43*0.21</f>
        <v>10.291701</v>
      </c>
      <c r="O43" s="107">
        <f t="shared" ref="O43" si="207">M43+N43</f>
        <v>59.299801000000002</v>
      </c>
    </row>
    <row r="44" spans="1:15" x14ac:dyDescent="0.3">
      <c r="A44" s="101" t="s">
        <v>1347</v>
      </c>
      <c r="B44" s="102" t="s">
        <v>1457</v>
      </c>
      <c r="C44" s="103" t="s">
        <v>1655</v>
      </c>
      <c r="D44" s="104">
        <v>44.49</v>
      </c>
      <c r="E44" s="105">
        <v>0.05</v>
      </c>
      <c r="F44" s="181">
        <v>0.13</v>
      </c>
      <c r="G44" s="2">
        <f t="shared" ref="G44" si="208">D44*E44</f>
        <v>2.2245000000000004</v>
      </c>
      <c r="H44" s="106">
        <f t="shared" ref="H44" si="209">G44+D44</f>
        <v>46.714500000000001</v>
      </c>
      <c r="I44" s="9">
        <f t="shared" ref="I44" si="210">H44*0.21</f>
        <v>9.8100450000000006</v>
      </c>
      <c r="J44" s="107">
        <f t="shared" ref="J44" si="211">H44+I44</f>
        <v>56.524545000000003</v>
      </c>
      <c r="L44" s="153">
        <f t="shared" ref="L44" si="212">D44*F44</f>
        <v>5.7837000000000005</v>
      </c>
      <c r="M44" s="106">
        <f t="shared" ref="M44" si="213">D44+L44</f>
        <v>50.273700000000005</v>
      </c>
      <c r="N44" s="9">
        <f t="shared" ref="N44" si="214">M44*0.21</f>
        <v>10.557477</v>
      </c>
      <c r="O44" s="107">
        <f t="shared" ref="O44" si="215">M44+N44</f>
        <v>60.831177000000004</v>
      </c>
    </row>
    <row r="45" spans="1:15" x14ac:dyDescent="0.3">
      <c r="A45" s="101" t="s">
        <v>1350</v>
      </c>
      <c r="B45" s="102" t="s">
        <v>1351</v>
      </c>
      <c r="C45" s="103" t="s">
        <v>1655</v>
      </c>
      <c r="D45" s="104">
        <v>45.61</v>
      </c>
      <c r="E45" s="105">
        <v>0.05</v>
      </c>
      <c r="F45" s="181">
        <v>0.13</v>
      </c>
      <c r="G45" s="2">
        <f t="shared" ref="G45" si="216">D45*E45</f>
        <v>2.2805</v>
      </c>
      <c r="H45" s="106">
        <f t="shared" ref="H45" si="217">G45+D45</f>
        <v>47.890500000000003</v>
      </c>
      <c r="I45" s="9">
        <f t="shared" ref="I45" si="218">H45*0.21</f>
        <v>10.057005</v>
      </c>
      <c r="J45" s="107">
        <f t="shared" ref="J45" si="219">H45+I45</f>
        <v>57.947505000000007</v>
      </c>
      <c r="L45" s="153">
        <f t="shared" ref="L45" si="220">D45*F45</f>
        <v>5.9293000000000005</v>
      </c>
      <c r="M45" s="106">
        <f t="shared" ref="M45" si="221">D45+L45</f>
        <v>51.539299999999997</v>
      </c>
      <c r="N45" s="9">
        <f t="shared" ref="N45" si="222">M45*0.21</f>
        <v>10.823252999999999</v>
      </c>
      <c r="O45" s="107">
        <f t="shared" ref="O45" si="223">M45+N45</f>
        <v>62.362552999999998</v>
      </c>
    </row>
    <row r="46" spans="1:15" x14ac:dyDescent="0.3">
      <c r="A46" s="101" t="s">
        <v>1354</v>
      </c>
      <c r="B46" s="102" t="s">
        <v>1355</v>
      </c>
      <c r="C46" s="103" t="s">
        <v>1655</v>
      </c>
      <c r="D46" s="104">
        <v>46.73</v>
      </c>
      <c r="E46" s="105">
        <v>0.05</v>
      </c>
      <c r="F46" s="181">
        <v>0.13</v>
      </c>
      <c r="G46" s="2">
        <f t="shared" ref="G46" si="224">D46*E46</f>
        <v>2.3365</v>
      </c>
      <c r="H46" s="106">
        <f t="shared" ref="H46" si="225">G46+D46</f>
        <v>49.066499999999998</v>
      </c>
      <c r="I46" s="9">
        <f t="shared" ref="I46" si="226">H46*0.21</f>
        <v>10.303965</v>
      </c>
      <c r="J46" s="107">
        <f t="shared" ref="J46" si="227">H46+I46</f>
        <v>59.370464999999996</v>
      </c>
      <c r="L46" s="153">
        <f t="shared" ref="L46" si="228">D46*F46</f>
        <v>6.0748999999999995</v>
      </c>
      <c r="M46" s="106">
        <f t="shared" ref="M46" si="229">D46+L46</f>
        <v>52.804899999999996</v>
      </c>
      <c r="N46" s="9">
        <f t="shared" ref="N46" si="230">M46*0.21</f>
        <v>11.089028999999998</v>
      </c>
      <c r="O46" s="107">
        <f t="shared" ref="O46" si="231">M46+N46</f>
        <v>63.893928999999993</v>
      </c>
    </row>
    <row r="47" spans="1:15" x14ac:dyDescent="0.3">
      <c r="A47" s="101" t="s">
        <v>1420</v>
      </c>
      <c r="B47" s="102" t="s">
        <v>1421</v>
      </c>
      <c r="C47" s="103" t="s">
        <v>1655</v>
      </c>
      <c r="D47" s="104">
        <v>47.85</v>
      </c>
      <c r="E47" s="105">
        <v>0.05</v>
      </c>
      <c r="F47" s="181">
        <v>0.13</v>
      </c>
      <c r="G47" s="2">
        <f t="shared" ref="G47" si="232">D47*E47</f>
        <v>2.3925000000000001</v>
      </c>
      <c r="H47" s="106">
        <f t="shared" ref="H47" si="233">G47+D47</f>
        <v>50.2425</v>
      </c>
      <c r="I47" s="9">
        <f t="shared" ref="I47" si="234">H47*0.21</f>
        <v>10.550924999999999</v>
      </c>
      <c r="J47" s="107">
        <f t="shared" ref="J47" si="235">H47+I47</f>
        <v>60.793424999999999</v>
      </c>
      <c r="L47" s="153">
        <f t="shared" ref="L47" si="236">D47*F47</f>
        <v>6.2205000000000004</v>
      </c>
      <c r="M47" s="106">
        <f t="shared" ref="M47" si="237">D47+L47</f>
        <v>54.070500000000003</v>
      </c>
      <c r="N47" s="9">
        <f t="shared" ref="N47" si="238">M47*0.21</f>
        <v>11.354805000000001</v>
      </c>
      <c r="O47" s="107">
        <f t="shared" ref="O47" si="239">M47+N47</f>
        <v>65.425305000000009</v>
      </c>
    </row>
    <row r="48" spans="1:15" x14ac:dyDescent="0.3">
      <c r="A48" s="101" t="s">
        <v>1447</v>
      </c>
      <c r="B48" s="102" t="s">
        <v>1448</v>
      </c>
      <c r="C48" s="103" t="s">
        <v>1655</v>
      </c>
      <c r="D48" s="104">
        <v>48.97</v>
      </c>
      <c r="E48" s="105">
        <v>0.05</v>
      </c>
      <c r="F48" s="181">
        <v>0.13</v>
      </c>
      <c r="G48" s="2">
        <f t="shared" ref="G48" si="240">D48*E48</f>
        <v>2.4485000000000001</v>
      </c>
      <c r="H48" s="106">
        <f t="shared" ref="H48" si="241">G48+D48</f>
        <v>51.418500000000002</v>
      </c>
      <c r="I48" s="9">
        <f t="shared" ref="I48" si="242">H48*0.21</f>
        <v>10.797884999999999</v>
      </c>
      <c r="J48" s="107">
        <f t="shared" ref="J48" si="243">H48+I48</f>
        <v>62.216385000000002</v>
      </c>
      <c r="L48" s="153">
        <f t="shared" ref="L48" si="244">D48*F48</f>
        <v>6.3661000000000003</v>
      </c>
      <c r="M48" s="106">
        <f t="shared" ref="M48" si="245">D48+L48</f>
        <v>55.336100000000002</v>
      </c>
      <c r="N48" s="9">
        <f t="shared" ref="N48" si="246">M48*0.21</f>
        <v>11.620581</v>
      </c>
      <c r="O48" s="107">
        <f t="shared" ref="O48" si="247">M48+N48</f>
        <v>66.956681000000003</v>
      </c>
    </row>
    <row r="49" spans="1:15" x14ac:dyDescent="0.3">
      <c r="A49" s="101" t="s">
        <v>1469</v>
      </c>
      <c r="B49" s="102" t="s">
        <v>1470</v>
      </c>
      <c r="C49" s="103" t="s">
        <v>1655</v>
      </c>
      <c r="D49" s="104">
        <v>50.09</v>
      </c>
      <c r="E49" s="105">
        <v>0.05</v>
      </c>
      <c r="F49" s="181">
        <v>0.13</v>
      </c>
      <c r="G49" s="2">
        <f t="shared" ref="G49" si="248">D49*E49</f>
        <v>2.5045000000000002</v>
      </c>
      <c r="H49" s="106">
        <f t="shared" ref="H49" si="249">G49+D49</f>
        <v>52.594500000000004</v>
      </c>
      <c r="I49" s="9">
        <f t="shared" ref="I49" si="250">H49*0.21</f>
        <v>11.044845</v>
      </c>
      <c r="J49" s="107">
        <f t="shared" ref="J49" si="251">H49+I49</f>
        <v>63.639345000000006</v>
      </c>
      <c r="L49" s="153">
        <f t="shared" ref="L49" si="252">D49*F49</f>
        <v>6.5117000000000003</v>
      </c>
      <c r="M49" s="106">
        <f t="shared" ref="M49" si="253">D49+L49</f>
        <v>56.601700000000001</v>
      </c>
      <c r="N49" s="9">
        <f t="shared" ref="N49" si="254">M49*0.21</f>
        <v>11.886357</v>
      </c>
      <c r="O49" s="107">
        <f t="shared" ref="O49" si="255">M49+N49</f>
        <v>68.488056999999998</v>
      </c>
    </row>
    <row r="50" spans="1:15" x14ac:dyDescent="0.3">
      <c r="A50" s="101" t="s">
        <v>1607</v>
      </c>
      <c r="B50" s="102" t="s">
        <v>1608</v>
      </c>
      <c r="C50" s="103" t="s">
        <v>1655</v>
      </c>
      <c r="D50" s="104">
        <v>51.21</v>
      </c>
      <c r="E50" s="105">
        <v>0.05</v>
      </c>
      <c r="F50" s="181">
        <v>0.13</v>
      </c>
      <c r="G50" s="2">
        <f t="shared" ref="G50" si="256">D50*E50</f>
        <v>2.5605000000000002</v>
      </c>
      <c r="H50" s="106">
        <f t="shared" ref="H50" si="257">G50+D50</f>
        <v>53.770499999999998</v>
      </c>
      <c r="I50" s="9">
        <f t="shared" ref="I50" si="258">H50*0.21</f>
        <v>11.291805</v>
      </c>
      <c r="J50" s="107">
        <f t="shared" ref="J50" si="259">H50+I50</f>
        <v>65.062304999999995</v>
      </c>
      <c r="L50" s="153">
        <f t="shared" ref="L50" si="260">D50*F50</f>
        <v>6.6573000000000002</v>
      </c>
      <c r="M50" s="106">
        <f t="shared" ref="M50" si="261">D50+L50</f>
        <v>57.8673</v>
      </c>
      <c r="N50" s="9">
        <f t="shared" ref="N50" si="262">M50*0.21</f>
        <v>12.152132999999999</v>
      </c>
      <c r="O50" s="107">
        <f t="shared" ref="O50" si="263">M50+N50</f>
        <v>70.019432999999992</v>
      </c>
    </row>
    <row r="51" spans="1:15" x14ac:dyDescent="0.3">
      <c r="A51" s="101" t="s">
        <v>1631</v>
      </c>
      <c r="B51" s="102" t="s">
        <v>1632</v>
      </c>
      <c r="C51" s="103" t="s">
        <v>1655</v>
      </c>
      <c r="D51" s="104">
        <v>52.33</v>
      </c>
      <c r="E51" s="105">
        <v>0.05</v>
      </c>
      <c r="F51" s="181">
        <v>0.13</v>
      </c>
      <c r="G51" s="2">
        <f t="shared" ref="G51" si="264">D51*E51</f>
        <v>2.6165000000000003</v>
      </c>
      <c r="H51" s="106">
        <f t="shared" ref="H51" si="265">G51+D51</f>
        <v>54.9465</v>
      </c>
      <c r="I51" s="9">
        <f t="shared" ref="I51" si="266">H51*0.21</f>
        <v>11.538765</v>
      </c>
      <c r="J51" s="107">
        <f t="shared" ref="J51" si="267">H51+I51</f>
        <v>66.485264999999998</v>
      </c>
      <c r="L51" s="153">
        <f t="shared" ref="L51" si="268">D51*F51</f>
        <v>6.8029000000000002</v>
      </c>
      <c r="M51" s="106">
        <f t="shared" ref="M51" si="269">D51+L51</f>
        <v>59.132899999999999</v>
      </c>
      <c r="N51" s="9">
        <f t="shared" ref="N51" si="270">M51*0.21</f>
        <v>12.417909</v>
      </c>
      <c r="O51" s="107">
        <f t="shared" ref="O51" si="271">M51+N51</f>
        <v>71.550809000000001</v>
      </c>
    </row>
    <row r="52" spans="1:15" x14ac:dyDescent="0.3">
      <c r="A52" s="101" t="s">
        <v>1653</v>
      </c>
      <c r="B52" s="102" t="s">
        <v>1654</v>
      </c>
      <c r="C52" s="103" t="s">
        <v>1655</v>
      </c>
      <c r="D52" s="104">
        <v>53.45</v>
      </c>
      <c r="E52" s="105">
        <v>0.05</v>
      </c>
      <c r="F52" s="181">
        <v>0.13</v>
      </c>
      <c r="G52" s="2">
        <f t="shared" ref="G52" si="272">D52*E52</f>
        <v>2.6725000000000003</v>
      </c>
      <c r="H52" s="106">
        <f t="shared" ref="H52" si="273">G52+D52</f>
        <v>56.122500000000002</v>
      </c>
      <c r="I52" s="9">
        <f t="shared" ref="I52" si="274">H52*0.21</f>
        <v>11.785724999999999</v>
      </c>
      <c r="J52" s="107">
        <f t="shared" ref="J52" si="275">H52+I52</f>
        <v>67.908225000000002</v>
      </c>
      <c r="L52" s="153">
        <f t="shared" ref="L52" si="276">D52*F52</f>
        <v>6.948500000000001</v>
      </c>
      <c r="M52" s="106">
        <f t="shared" ref="M52" si="277">D52+L52</f>
        <v>60.398500000000006</v>
      </c>
      <c r="N52" s="9">
        <f t="shared" ref="N52" si="278">M52*0.21</f>
        <v>12.683685000000001</v>
      </c>
      <c r="O52" s="107">
        <f t="shared" ref="O52" si="279">M52+N52</f>
        <v>73.08218500000001</v>
      </c>
    </row>
    <row r="53" spans="1:15" x14ac:dyDescent="0.3">
      <c r="F53" s="1"/>
    </row>
    <row r="54" spans="1:15" x14ac:dyDescent="0.3">
      <c r="A54" s="108" t="s">
        <v>40</v>
      </c>
      <c r="B54" s="109" t="s">
        <v>41</v>
      </c>
      <c r="C54" s="110" t="s">
        <v>1655</v>
      </c>
      <c r="D54" s="111">
        <v>0.13</v>
      </c>
      <c r="E54" s="112">
        <v>0.11</v>
      </c>
      <c r="F54" s="182">
        <v>0.22</v>
      </c>
      <c r="G54" s="2">
        <f t="shared" ref="G54:G59" si="280">D54*E54</f>
        <v>1.43E-2</v>
      </c>
      <c r="H54" s="113">
        <f t="shared" ref="H54:H59" si="281">G54+D54</f>
        <v>0.14430000000000001</v>
      </c>
      <c r="I54" s="9">
        <f t="shared" ref="I54:I59" si="282">H54*0.21</f>
        <v>3.0303E-2</v>
      </c>
      <c r="J54" s="114">
        <f t="shared" ref="J54:J59" si="283">H54+I54</f>
        <v>0.17460300000000001</v>
      </c>
      <c r="L54" s="153">
        <f t="shared" ref="L54:L73" si="284">D54*F54</f>
        <v>2.86E-2</v>
      </c>
      <c r="M54" s="113">
        <f t="shared" ref="M54:M73" si="285">D54+L54</f>
        <v>0.15860000000000002</v>
      </c>
      <c r="N54" s="9">
        <f t="shared" ref="N54:N73" si="286">M54*0.21</f>
        <v>3.3306000000000002E-2</v>
      </c>
      <c r="O54" s="114">
        <f t="shared" ref="O54:O73" si="287">M54+N54</f>
        <v>0.19190600000000002</v>
      </c>
    </row>
    <row r="55" spans="1:15" x14ac:dyDescent="0.3">
      <c r="A55" s="108" t="s">
        <v>42</v>
      </c>
      <c r="B55" s="109" t="s">
        <v>43</v>
      </c>
      <c r="C55" s="110" t="s">
        <v>1655</v>
      </c>
      <c r="D55" s="111">
        <v>0.15</v>
      </c>
      <c r="E55" s="112">
        <v>0.11</v>
      </c>
      <c r="F55" s="182">
        <v>0.22</v>
      </c>
      <c r="G55" s="2">
        <f t="shared" si="280"/>
        <v>1.6500000000000001E-2</v>
      </c>
      <c r="H55" s="113">
        <f t="shared" si="281"/>
        <v>0.16649999999999998</v>
      </c>
      <c r="I55" s="9">
        <f t="shared" si="282"/>
        <v>3.4964999999999996E-2</v>
      </c>
      <c r="J55" s="114">
        <f t="shared" si="283"/>
        <v>0.20146499999999998</v>
      </c>
      <c r="L55" s="153">
        <f t="shared" ref="L55" si="288">D55*F55</f>
        <v>3.3000000000000002E-2</v>
      </c>
      <c r="M55" s="113">
        <f t="shared" ref="M55" si="289">D55+L55</f>
        <v>0.183</v>
      </c>
      <c r="N55" s="9">
        <f t="shared" ref="N55" si="290">M55*0.21</f>
        <v>3.8429999999999999E-2</v>
      </c>
      <c r="O55" s="114">
        <f t="shared" ref="O55" si="291">M55+N55</f>
        <v>0.22142999999999999</v>
      </c>
    </row>
    <row r="56" spans="1:15" x14ac:dyDescent="0.3">
      <c r="A56" s="108" t="s">
        <v>217</v>
      </c>
      <c r="B56" s="109" t="s">
        <v>218</v>
      </c>
      <c r="C56" s="110" t="s">
        <v>1655</v>
      </c>
      <c r="D56" s="111">
        <v>0.17</v>
      </c>
      <c r="E56" s="112">
        <v>0.11</v>
      </c>
      <c r="F56" s="182">
        <v>0.22</v>
      </c>
      <c r="G56" s="2">
        <f t="shared" si="280"/>
        <v>1.8700000000000001E-2</v>
      </c>
      <c r="H56" s="113">
        <f t="shared" si="281"/>
        <v>0.18870000000000001</v>
      </c>
      <c r="I56" s="9">
        <f t="shared" si="282"/>
        <v>3.9627000000000002E-2</v>
      </c>
      <c r="J56" s="114">
        <f t="shared" si="283"/>
        <v>0.228327</v>
      </c>
      <c r="L56" s="153">
        <f t="shared" ref="L56" si="292">D56*F56</f>
        <v>3.7400000000000003E-2</v>
      </c>
      <c r="M56" s="113">
        <f t="shared" ref="M56" si="293">D56+L56</f>
        <v>0.20740000000000003</v>
      </c>
      <c r="N56" s="9">
        <f t="shared" ref="N56" si="294">M56*0.21</f>
        <v>4.3554000000000002E-2</v>
      </c>
      <c r="O56" s="114">
        <f t="shared" ref="O56" si="295">M56+N56</f>
        <v>0.25095400000000001</v>
      </c>
    </row>
    <row r="57" spans="1:15" x14ac:dyDescent="0.3">
      <c r="A57" s="108" t="s">
        <v>219</v>
      </c>
      <c r="B57" s="109" t="s">
        <v>220</v>
      </c>
      <c r="C57" s="110" t="s">
        <v>1655</v>
      </c>
      <c r="D57" s="111">
        <v>0.19</v>
      </c>
      <c r="E57" s="112">
        <v>0.11</v>
      </c>
      <c r="F57" s="182">
        <v>0.22</v>
      </c>
      <c r="G57" s="2">
        <f t="shared" si="280"/>
        <v>2.0900000000000002E-2</v>
      </c>
      <c r="H57" s="113">
        <f t="shared" si="281"/>
        <v>0.2109</v>
      </c>
      <c r="I57" s="9">
        <f t="shared" si="282"/>
        <v>4.4289000000000002E-2</v>
      </c>
      <c r="J57" s="114">
        <f t="shared" si="283"/>
        <v>0.255189</v>
      </c>
      <c r="L57" s="153">
        <f t="shared" ref="L57" si="296">D57*F57</f>
        <v>4.1800000000000004E-2</v>
      </c>
      <c r="M57" s="113">
        <f t="shared" ref="M57" si="297">D57+L57</f>
        <v>0.23180000000000001</v>
      </c>
      <c r="N57" s="9">
        <f t="shared" ref="N57" si="298">M57*0.21</f>
        <v>4.8677999999999999E-2</v>
      </c>
      <c r="O57" s="114">
        <f t="shared" ref="O57" si="299">M57+N57</f>
        <v>0.28047800000000001</v>
      </c>
    </row>
    <row r="58" spans="1:15" x14ac:dyDescent="0.3">
      <c r="A58" s="108" t="s">
        <v>221</v>
      </c>
      <c r="B58" s="109" t="s">
        <v>222</v>
      </c>
      <c r="C58" s="110" t="s">
        <v>1655</v>
      </c>
      <c r="D58" s="111">
        <v>0.21</v>
      </c>
      <c r="E58" s="112">
        <v>0.11</v>
      </c>
      <c r="F58" s="182">
        <v>0.22</v>
      </c>
      <c r="G58" s="2">
        <f t="shared" si="280"/>
        <v>2.3099999999999999E-2</v>
      </c>
      <c r="H58" s="113">
        <f t="shared" si="281"/>
        <v>0.2331</v>
      </c>
      <c r="I58" s="9">
        <f t="shared" si="282"/>
        <v>4.8951000000000001E-2</v>
      </c>
      <c r="J58" s="114">
        <f t="shared" si="283"/>
        <v>0.282051</v>
      </c>
      <c r="L58" s="153">
        <f t="shared" ref="L58" si="300">D58*F58</f>
        <v>4.6199999999999998E-2</v>
      </c>
      <c r="M58" s="113">
        <f t="shared" ref="M58" si="301">D58+L58</f>
        <v>0.25619999999999998</v>
      </c>
      <c r="N58" s="9">
        <f t="shared" ref="N58" si="302">M58*0.21</f>
        <v>5.3801999999999996E-2</v>
      </c>
      <c r="O58" s="114">
        <f t="shared" ref="O58" si="303">M58+N58</f>
        <v>0.310002</v>
      </c>
    </row>
    <row r="59" spans="1:15" x14ac:dyDescent="0.3">
      <c r="A59" s="108" t="s">
        <v>230</v>
      </c>
      <c r="B59" s="109" t="s">
        <v>231</v>
      </c>
      <c r="C59" s="110" t="s">
        <v>1655</v>
      </c>
      <c r="D59" s="111">
        <v>0.23</v>
      </c>
      <c r="E59" s="112">
        <v>0.11</v>
      </c>
      <c r="F59" s="182">
        <v>0.22</v>
      </c>
      <c r="G59" s="2">
        <f t="shared" si="280"/>
        <v>2.53E-2</v>
      </c>
      <c r="H59" s="113">
        <f t="shared" si="281"/>
        <v>0.25530000000000003</v>
      </c>
      <c r="I59" s="9">
        <f t="shared" si="282"/>
        <v>5.3613000000000001E-2</v>
      </c>
      <c r="J59" s="114">
        <f t="shared" si="283"/>
        <v>0.30891300000000005</v>
      </c>
      <c r="L59" s="153">
        <f t="shared" ref="L59" si="304">D59*F59</f>
        <v>5.0599999999999999E-2</v>
      </c>
      <c r="M59" s="113">
        <f t="shared" ref="M59" si="305">D59+L59</f>
        <v>0.28060000000000002</v>
      </c>
      <c r="N59" s="9">
        <f t="shared" ref="N59" si="306">M59*0.21</f>
        <v>5.8925999999999999E-2</v>
      </c>
      <c r="O59" s="114">
        <f t="shared" ref="O59" si="307">M59+N59</f>
        <v>0.33952599999999999</v>
      </c>
    </row>
    <row r="60" spans="1:15" x14ac:dyDescent="0.3">
      <c r="A60" s="108" t="s">
        <v>408</v>
      </c>
      <c r="B60" s="109" t="s">
        <v>409</v>
      </c>
      <c r="C60" s="110" t="s">
        <v>1655</v>
      </c>
      <c r="D60" s="111">
        <v>0.25</v>
      </c>
      <c r="E60" s="112">
        <v>0.11</v>
      </c>
      <c r="F60" s="182">
        <v>0.22</v>
      </c>
      <c r="G60" s="2">
        <f t="shared" ref="G60" si="308">D60*E60</f>
        <v>2.75E-2</v>
      </c>
      <c r="H60" s="113">
        <f t="shared" ref="H60" si="309">G60+D60</f>
        <v>0.27750000000000002</v>
      </c>
      <c r="I60" s="9">
        <f t="shared" ref="I60" si="310">H60*0.21</f>
        <v>5.8275E-2</v>
      </c>
      <c r="J60" s="114">
        <f t="shared" ref="J60" si="311">H60+I60</f>
        <v>0.33577500000000005</v>
      </c>
      <c r="L60" s="153">
        <f t="shared" ref="L60" si="312">D60*F60</f>
        <v>5.5E-2</v>
      </c>
      <c r="M60" s="113">
        <f t="shared" ref="M60" si="313">D60+L60</f>
        <v>0.30499999999999999</v>
      </c>
      <c r="N60" s="9">
        <f t="shared" ref="N60" si="314">M60*0.21</f>
        <v>6.4049999999999996E-2</v>
      </c>
      <c r="O60" s="114">
        <f t="shared" ref="O60" si="315">M60+N60</f>
        <v>0.36904999999999999</v>
      </c>
    </row>
    <row r="61" spans="1:15" x14ac:dyDescent="0.3">
      <c r="A61" s="108" t="s">
        <v>410</v>
      </c>
      <c r="B61" s="109" t="s">
        <v>411</v>
      </c>
      <c r="C61" s="110" t="s">
        <v>1655</v>
      </c>
      <c r="D61" s="111">
        <v>0.27</v>
      </c>
      <c r="E61" s="112">
        <v>0.11</v>
      </c>
      <c r="F61" s="182">
        <v>0.22</v>
      </c>
      <c r="G61" s="2">
        <f t="shared" ref="G61" si="316">D61*E61</f>
        <v>2.9700000000000001E-2</v>
      </c>
      <c r="H61" s="113">
        <f t="shared" ref="H61" si="317">G61+D61</f>
        <v>0.29970000000000002</v>
      </c>
      <c r="I61" s="9">
        <f t="shared" ref="I61" si="318">H61*0.21</f>
        <v>6.2937000000000007E-2</v>
      </c>
      <c r="J61" s="114">
        <f t="shared" ref="J61" si="319">H61+I61</f>
        <v>0.36263700000000004</v>
      </c>
      <c r="L61" s="153">
        <f t="shared" ref="L61" si="320">D61*F61</f>
        <v>5.9400000000000001E-2</v>
      </c>
      <c r="M61" s="113">
        <f t="shared" ref="M61" si="321">D61+L61</f>
        <v>0.32940000000000003</v>
      </c>
      <c r="N61" s="9">
        <f t="shared" ref="N61" si="322">M61*0.21</f>
        <v>6.9173999999999999E-2</v>
      </c>
      <c r="O61" s="114">
        <f t="shared" ref="O61" si="323">M61+N61</f>
        <v>0.39857400000000004</v>
      </c>
    </row>
    <row r="62" spans="1:15" x14ac:dyDescent="0.3">
      <c r="A62" s="108" t="s">
        <v>417</v>
      </c>
      <c r="B62" s="109" t="s">
        <v>418</v>
      </c>
      <c r="C62" s="110" t="s">
        <v>1655</v>
      </c>
      <c r="D62" s="111">
        <v>0.28999999999999998</v>
      </c>
      <c r="E62" s="112">
        <v>0.11</v>
      </c>
      <c r="F62" s="182">
        <v>0.22</v>
      </c>
      <c r="G62" s="2">
        <f t="shared" ref="G62" si="324">D62*E62</f>
        <v>3.1899999999999998E-2</v>
      </c>
      <c r="H62" s="113">
        <f t="shared" ref="H62" si="325">G62+D62</f>
        <v>0.32189999999999996</v>
      </c>
      <c r="I62" s="9">
        <f t="shared" ref="I62" si="326">H62*0.21</f>
        <v>6.7598999999999992E-2</v>
      </c>
      <c r="J62" s="114">
        <f t="shared" ref="J62" si="327">H62+I62</f>
        <v>0.38949899999999993</v>
      </c>
      <c r="L62" s="153">
        <f t="shared" ref="L62" si="328">D62*F62</f>
        <v>6.3799999999999996E-2</v>
      </c>
      <c r="M62" s="113">
        <f t="shared" ref="M62" si="329">D62+L62</f>
        <v>0.3538</v>
      </c>
      <c r="N62" s="9">
        <f t="shared" ref="N62" si="330">M62*0.21</f>
        <v>7.4298000000000003E-2</v>
      </c>
      <c r="O62" s="114">
        <f t="shared" ref="O62" si="331">M62+N62</f>
        <v>0.42809799999999998</v>
      </c>
    </row>
    <row r="63" spans="1:15" x14ac:dyDescent="0.3">
      <c r="A63" s="108" t="s">
        <v>893</v>
      </c>
      <c r="B63" s="109" t="s">
        <v>894</v>
      </c>
      <c r="C63" s="110" t="s">
        <v>1655</v>
      </c>
      <c r="D63" s="111">
        <v>0.31</v>
      </c>
      <c r="E63" s="112">
        <v>0.11</v>
      </c>
      <c r="F63" s="182">
        <v>0.22</v>
      </c>
      <c r="G63" s="2">
        <f t="shared" ref="G63" si="332">D63*E63</f>
        <v>3.4099999999999998E-2</v>
      </c>
      <c r="H63" s="113">
        <f t="shared" ref="H63" si="333">G63+D63</f>
        <v>0.34410000000000002</v>
      </c>
      <c r="I63" s="9">
        <f t="shared" ref="I63" si="334">H63*0.21</f>
        <v>7.2261000000000006E-2</v>
      </c>
      <c r="J63" s="114">
        <f t="shared" ref="J63" si="335">H63+I63</f>
        <v>0.41636100000000004</v>
      </c>
      <c r="L63" s="153">
        <f t="shared" ref="L63" si="336">D63*F63</f>
        <v>6.8199999999999997E-2</v>
      </c>
      <c r="M63" s="113">
        <f t="shared" ref="M63" si="337">D63+L63</f>
        <v>0.37819999999999998</v>
      </c>
      <c r="N63" s="9">
        <f t="shared" ref="N63" si="338">M63*0.21</f>
        <v>7.9421999999999993E-2</v>
      </c>
      <c r="O63" s="114">
        <f t="shared" ref="O63" si="339">M63+N63</f>
        <v>0.45762199999999997</v>
      </c>
    </row>
    <row r="64" spans="1:15" x14ac:dyDescent="0.3">
      <c r="A64" s="108" t="s">
        <v>1306</v>
      </c>
      <c r="B64" s="109" t="s">
        <v>1307</v>
      </c>
      <c r="C64" s="110" t="s">
        <v>1655</v>
      </c>
      <c r="D64" s="111">
        <v>0.33</v>
      </c>
      <c r="E64" s="112">
        <v>0.11</v>
      </c>
      <c r="F64" s="182">
        <v>0.22</v>
      </c>
      <c r="G64" s="2">
        <f t="shared" ref="G64" si="340">D64*E64</f>
        <v>3.6299999999999999E-2</v>
      </c>
      <c r="H64" s="113">
        <f t="shared" ref="H64" si="341">G64+D64</f>
        <v>0.36630000000000001</v>
      </c>
      <c r="I64" s="9">
        <f t="shared" ref="I64" si="342">H64*0.21</f>
        <v>7.6923000000000005E-2</v>
      </c>
      <c r="J64" s="114">
        <f t="shared" ref="J64" si="343">H64+I64</f>
        <v>0.44322300000000003</v>
      </c>
      <c r="L64" s="153">
        <f t="shared" ref="L64" si="344">D64*F64</f>
        <v>7.2599999999999998E-2</v>
      </c>
      <c r="M64" s="113">
        <f t="shared" ref="M64" si="345">D64+L64</f>
        <v>0.40260000000000001</v>
      </c>
      <c r="N64" s="9">
        <f t="shared" ref="N64" si="346">M64*0.21</f>
        <v>8.4545999999999996E-2</v>
      </c>
      <c r="O64" s="114">
        <f t="shared" ref="O64" si="347">M64+N64</f>
        <v>0.48714600000000002</v>
      </c>
    </row>
    <row r="65" spans="1:15" x14ac:dyDescent="0.3">
      <c r="A65" s="108" t="s">
        <v>1445</v>
      </c>
      <c r="B65" s="109" t="s">
        <v>1446</v>
      </c>
      <c r="C65" s="110" t="s">
        <v>1655</v>
      </c>
      <c r="D65" s="111">
        <v>0.35</v>
      </c>
      <c r="E65" s="112">
        <v>0.11</v>
      </c>
      <c r="F65" s="182">
        <v>0.22</v>
      </c>
      <c r="G65" s="2">
        <f t="shared" ref="G65" si="348">D65*E65</f>
        <v>3.85E-2</v>
      </c>
      <c r="H65" s="113">
        <f t="shared" ref="H65" si="349">G65+D65</f>
        <v>0.38849999999999996</v>
      </c>
      <c r="I65" s="9">
        <f t="shared" ref="I65" si="350">H65*0.21</f>
        <v>8.1584999999999991E-2</v>
      </c>
      <c r="J65" s="114">
        <f t="shared" ref="J65" si="351">H65+I65</f>
        <v>0.47008499999999998</v>
      </c>
      <c r="L65" s="153">
        <f t="shared" ref="L65" si="352">D65*F65</f>
        <v>7.6999999999999999E-2</v>
      </c>
      <c r="M65" s="113">
        <f t="shared" ref="M65" si="353">D65+L65</f>
        <v>0.42699999999999999</v>
      </c>
      <c r="N65" s="9">
        <f t="shared" ref="N65" si="354">M65*0.21</f>
        <v>8.967E-2</v>
      </c>
      <c r="O65" s="114">
        <f t="shared" ref="O65" si="355">M65+N65</f>
        <v>0.51666999999999996</v>
      </c>
    </row>
    <row r="66" spans="1:15" x14ac:dyDescent="0.3">
      <c r="A66" s="108" t="s">
        <v>1451</v>
      </c>
      <c r="B66" s="109" t="s">
        <v>1452</v>
      </c>
      <c r="C66" s="110" t="s">
        <v>1655</v>
      </c>
      <c r="D66" s="111">
        <v>0.37</v>
      </c>
      <c r="E66" s="112">
        <v>0.11</v>
      </c>
      <c r="F66" s="182">
        <v>0.22</v>
      </c>
      <c r="G66" s="2">
        <f t="shared" ref="G66" si="356">D66*E66</f>
        <v>4.07E-2</v>
      </c>
      <c r="H66" s="113">
        <f t="shared" ref="H66" si="357">G66+D66</f>
        <v>0.41070000000000001</v>
      </c>
      <c r="I66" s="9">
        <f t="shared" ref="I66" si="358">H66*0.21</f>
        <v>8.6247000000000004E-2</v>
      </c>
      <c r="J66" s="114">
        <f t="shared" ref="J66" si="359">H66+I66</f>
        <v>0.49694700000000003</v>
      </c>
      <c r="L66" s="153">
        <f t="shared" ref="L66" si="360">D66*F66</f>
        <v>8.14E-2</v>
      </c>
      <c r="M66" s="113">
        <f t="shared" ref="M66" si="361">D66+L66</f>
        <v>0.45140000000000002</v>
      </c>
      <c r="N66" s="9">
        <f t="shared" ref="N66" si="362">M66*0.21</f>
        <v>9.4794000000000003E-2</v>
      </c>
      <c r="O66" s="114">
        <f t="shared" ref="O66" si="363">M66+N66</f>
        <v>0.54619400000000007</v>
      </c>
    </row>
    <row r="67" spans="1:15" x14ac:dyDescent="0.3">
      <c r="A67" s="108" t="s">
        <v>1453</v>
      </c>
      <c r="B67" s="109" t="s">
        <v>1454</v>
      </c>
      <c r="C67" s="110" t="s">
        <v>1655</v>
      </c>
      <c r="D67" s="111">
        <v>0.39</v>
      </c>
      <c r="E67" s="112">
        <v>0.11</v>
      </c>
      <c r="F67" s="182">
        <v>0.22</v>
      </c>
      <c r="G67" s="2">
        <f t="shared" ref="G67" si="364">D67*E67</f>
        <v>4.2900000000000001E-2</v>
      </c>
      <c r="H67" s="113">
        <f t="shared" ref="H67" si="365">G67+D67</f>
        <v>0.43290000000000001</v>
      </c>
      <c r="I67" s="9">
        <f t="shared" ref="I67" si="366">H67*0.21</f>
        <v>9.0909000000000004E-2</v>
      </c>
      <c r="J67" s="114">
        <f t="shared" ref="J67" si="367">H67+I67</f>
        <v>0.52380899999999997</v>
      </c>
      <c r="L67" s="153">
        <f t="shared" ref="L67" si="368">D67*F67</f>
        <v>8.5800000000000001E-2</v>
      </c>
      <c r="M67" s="113">
        <f t="shared" ref="M67" si="369">D67+L67</f>
        <v>0.4758</v>
      </c>
      <c r="N67" s="9">
        <f t="shared" ref="N67" si="370">M67*0.21</f>
        <v>9.9917999999999993E-2</v>
      </c>
      <c r="O67" s="114">
        <f t="shared" ref="O67" si="371">M67+N67</f>
        <v>0.57571799999999995</v>
      </c>
    </row>
    <row r="68" spans="1:15" x14ac:dyDescent="0.3">
      <c r="A68" s="108" t="s">
        <v>1461</v>
      </c>
      <c r="B68" s="109" t="s">
        <v>1462</v>
      </c>
      <c r="C68" s="110" t="s">
        <v>1655</v>
      </c>
      <c r="D68" s="111">
        <v>0.41</v>
      </c>
      <c r="E68" s="112">
        <v>0.11</v>
      </c>
      <c r="F68" s="182">
        <v>0.22</v>
      </c>
      <c r="G68" s="2">
        <f t="shared" ref="G68" si="372">D68*E68</f>
        <v>4.5099999999999994E-2</v>
      </c>
      <c r="H68" s="113">
        <f t="shared" ref="H68" si="373">G68+D68</f>
        <v>0.45509999999999995</v>
      </c>
      <c r="I68" s="9">
        <f t="shared" ref="I68" si="374">H68*0.21</f>
        <v>9.5570999999999989E-2</v>
      </c>
      <c r="J68" s="114">
        <f t="shared" ref="J68" si="375">H68+I68</f>
        <v>0.55067099999999991</v>
      </c>
      <c r="L68" s="153">
        <f t="shared" ref="L68" si="376">D68*F68</f>
        <v>9.0199999999999989E-2</v>
      </c>
      <c r="M68" s="113">
        <f t="shared" ref="M68" si="377">D68+L68</f>
        <v>0.50019999999999998</v>
      </c>
      <c r="N68" s="9">
        <f t="shared" ref="N68" si="378">M68*0.21</f>
        <v>0.105042</v>
      </c>
      <c r="O68" s="114">
        <f t="shared" ref="O68" si="379">M68+N68</f>
        <v>0.60524199999999995</v>
      </c>
    </row>
    <row r="69" spans="1:15" x14ac:dyDescent="0.3">
      <c r="A69" s="108" t="s">
        <v>1609</v>
      </c>
      <c r="B69" s="109" t="s">
        <v>1610</v>
      </c>
      <c r="C69" s="110" t="s">
        <v>1655</v>
      </c>
      <c r="D69" s="111">
        <v>0.43</v>
      </c>
      <c r="E69" s="112">
        <v>0.11</v>
      </c>
      <c r="F69" s="182">
        <v>0.22</v>
      </c>
      <c r="G69" s="2">
        <f t="shared" ref="G69" si="380">D69*E69</f>
        <v>4.7300000000000002E-2</v>
      </c>
      <c r="H69" s="113">
        <f t="shared" ref="H69" si="381">G69+D69</f>
        <v>0.4773</v>
      </c>
      <c r="I69" s="9">
        <f t="shared" ref="I69" si="382">H69*0.21</f>
        <v>0.100233</v>
      </c>
      <c r="J69" s="114">
        <f t="shared" ref="J69" si="383">H69+I69</f>
        <v>0.57753299999999996</v>
      </c>
      <c r="L69" s="153">
        <f t="shared" ref="L69" si="384">D69*F69</f>
        <v>9.4600000000000004E-2</v>
      </c>
      <c r="M69" s="113">
        <f t="shared" ref="M69" si="385">D69+L69</f>
        <v>0.52459999999999996</v>
      </c>
      <c r="N69" s="9">
        <f t="shared" ref="N69" si="386">M69*0.21</f>
        <v>0.11016599999999999</v>
      </c>
      <c r="O69" s="114">
        <f t="shared" ref="O69" si="387">M69+N69</f>
        <v>0.63476599999999994</v>
      </c>
    </row>
    <row r="71" spans="1:15" x14ac:dyDescent="0.3">
      <c r="A71" s="184" t="s">
        <v>115</v>
      </c>
      <c r="B71" s="185" t="s">
        <v>116</v>
      </c>
      <c r="C71" s="186" t="s">
        <v>1655</v>
      </c>
      <c r="D71" s="187">
        <v>17.440000000000001</v>
      </c>
      <c r="E71" s="188">
        <v>0.54</v>
      </c>
      <c r="F71" s="189">
        <v>0.06</v>
      </c>
      <c r="G71" s="2">
        <f>D71*E71</f>
        <v>9.417600000000002</v>
      </c>
      <c r="H71" s="190">
        <f>G71+D71</f>
        <v>26.857600000000005</v>
      </c>
      <c r="I71" s="9">
        <f>H71*0.21</f>
        <v>5.6400960000000007</v>
      </c>
      <c r="J71" s="191">
        <f>H71+I71</f>
        <v>32.497696000000005</v>
      </c>
      <c r="L71" s="153">
        <f t="shared" ref="L71" si="388">D71*F71</f>
        <v>1.0464</v>
      </c>
      <c r="M71" s="190">
        <f t="shared" ref="M71" si="389">D71+L71</f>
        <v>18.4864</v>
      </c>
      <c r="N71" s="9">
        <f t="shared" ref="N71" si="390">M71*0.21</f>
        <v>3.8821439999999998</v>
      </c>
      <c r="O71" s="191">
        <f t="shared" ref="O71" si="391">M71+N71</f>
        <v>22.368544</v>
      </c>
    </row>
    <row r="72" spans="1:15" x14ac:dyDescent="0.3">
      <c r="F72" s="1"/>
      <c r="H72" s="1"/>
    </row>
    <row r="73" spans="1:15" x14ac:dyDescent="0.3">
      <c r="A73" s="11" t="s">
        <v>44</v>
      </c>
      <c r="B73" s="12" t="s">
        <v>45</v>
      </c>
      <c r="C73" s="13" t="s">
        <v>1655</v>
      </c>
      <c r="D73" s="14">
        <v>43.65</v>
      </c>
      <c r="E73" s="15">
        <v>0.14000000000000001</v>
      </c>
      <c r="F73" s="183">
        <v>0.75</v>
      </c>
      <c r="G73" s="2">
        <f t="shared" ref="G73:G79" si="392">D73*E73</f>
        <v>6.1110000000000007</v>
      </c>
      <c r="H73" s="65">
        <f t="shared" ref="H73:H79" si="393">G73+D73</f>
        <v>49.760999999999996</v>
      </c>
      <c r="I73" s="9">
        <f t="shared" ref="I73:I79" si="394">H73*0.21</f>
        <v>10.449809999999999</v>
      </c>
      <c r="J73" s="66">
        <f t="shared" ref="J73:J79" si="395">H73+I73</f>
        <v>60.210809999999995</v>
      </c>
      <c r="L73" s="153">
        <f t="shared" si="284"/>
        <v>32.737499999999997</v>
      </c>
      <c r="M73" s="65">
        <f t="shared" si="285"/>
        <v>76.387499999999989</v>
      </c>
      <c r="N73" s="9">
        <f t="shared" si="286"/>
        <v>16.041374999999999</v>
      </c>
      <c r="O73" s="66">
        <f t="shared" si="287"/>
        <v>92.428874999999991</v>
      </c>
    </row>
    <row r="74" spans="1:15" x14ac:dyDescent="0.3">
      <c r="A74" s="11" t="s">
        <v>117</v>
      </c>
      <c r="B74" s="12" t="s">
        <v>118</v>
      </c>
      <c r="C74" s="13" t="s">
        <v>1655</v>
      </c>
      <c r="D74" s="14">
        <v>42.17</v>
      </c>
      <c r="E74" s="15">
        <v>0.14000000000000001</v>
      </c>
      <c r="F74" s="183">
        <v>0.75</v>
      </c>
      <c r="G74" s="2">
        <f t="shared" si="392"/>
        <v>5.9038000000000004</v>
      </c>
      <c r="H74" s="65">
        <f t="shared" si="393"/>
        <v>48.073800000000006</v>
      </c>
      <c r="I74" s="9">
        <f t="shared" si="394"/>
        <v>10.095498000000001</v>
      </c>
      <c r="J74" s="66">
        <f t="shared" si="395"/>
        <v>58.169298000000005</v>
      </c>
      <c r="L74" s="153">
        <f t="shared" ref="L74" si="396">D74*F74</f>
        <v>31.627500000000001</v>
      </c>
      <c r="M74" s="65">
        <f t="shared" ref="M74" si="397">D74+L74</f>
        <v>73.797499999999999</v>
      </c>
      <c r="N74" s="9">
        <f t="shared" ref="N74" si="398">M74*0.21</f>
        <v>15.497475</v>
      </c>
      <c r="O74" s="66">
        <f t="shared" ref="O74" si="399">M74+N74</f>
        <v>89.294974999999994</v>
      </c>
    </row>
    <row r="75" spans="1:15" x14ac:dyDescent="0.3">
      <c r="A75" s="11" t="s">
        <v>223</v>
      </c>
      <c r="B75" s="12" t="s">
        <v>224</v>
      </c>
      <c r="C75" s="13" t="s">
        <v>1655</v>
      </c>
      <c r="D75" s="14">
        <v>40.69</v>
      </c>
      <c r="E75" s="15">
        <v>0.14000000000000001</v>
      </c>
      <c r="F75" s="183">
        <v>0.75</v>
      </c>
      <c r="G75" s="2">
        <f t="shared" si="392"/>
        <v>5.6966000000000001</v>
      </c>
      <c r="H75" s="65">
        <f t="shared" si="393"/>
        <v>46.386600000000001</v>
      </c>
      <c r="I75" s="9">
        <f t="shared" si="394"/>
        <v>9.7411860000000008</v>
      </c>
      <c r="J75" s="66">
        <f t="shared" si="395"/>
        <v>56.127786</v>
      </c>
      <c r="L75" s="153">
        <f t="shared" ref="L75" si="400">D75*F75</f>
        <v>30.517499999999998</v>
      </c>
      <c r="M75" s="65">
        <f t="shared" ref="M75" si="401">D75+L75</f>
        <v>71.207499999999996</v>
      </c>
      <c r="N75" s="9">
        <f t="shared" ref="N75" si="402">M75*0.21</f>
        <v>14.953574999999999</v>
      </c>
      <c r="O75" s="66">
        <f t="shared" ref="O75" si="403">M75+N75</f>
        <v>86.161074999999997</v>
      </c>
    </row>
    <row r="76" spans="1:15" x14ac:dyDescent="0.3">
      <c r="A76" s="11" t="s">
        <v>290</v>
      </c>
      <c r="B76" s="12" t="s">
        <v>291</v>
      </c>
      <c r="C76" s="13" t="s">
        <v>1655</v>
      </c>
      <c r="D76" s="14">
        <v>39.21</v>
      </c>
      <c r="E76" s="15">
        <v>0.14000000000000001</v>
      </c>
      <c r="F76" s="183">
        <v>0.75</v>
      </c>
      <c r="G76" s="2">
        <f t="shared" si="392"/>
        <v>5.4894000000000007</v>
      </c>
      <c r="H76" s="65">
        <f t="shared" si="393"/>
        <v>44.699400000000004</v>
      </c>
      <c r="I76" s="9">
        <f t="shared" si="394"/>
        <v>9.3868740000000006</v>
      </c>
      <c r="J76" s="66">
        <f t="shared" si="395"/>
        <v>54.086274000000003</v>
      </c>
      <c r="L76" s="153">
        <f t="shared" ref="L76" si="404">D76*F76</f>
        <v>29.407499999999999</v>
      </c>
      <c r="M76" s="65">
        <f t="shared" ref="M76" si="405">D76+L76</f>
        <v>68.617500000000007</v>
      </c>
      <c r="N76" s="9">
        <f t="shared" ref="N76" si="406">M76*0.21</f>
        <v>14.409675</v>
      </c>
      <c r="O76" s="66">
        <f t="shared" ref="O76" si="407">M76+N76</f>
        <v>83.027175</v>
      </c>
    </row>
    <row r="77" spans="1:15" x14ac:dyDescent="0.3">
      <c r="A77" s="11" t="s">
        <v>376</v>
      </c>
      <c r="B77" s="12" t="s">
        <v>377</v>
      </c>
      <c r="C77" s="13" t="s">
        <v>1655</v>
      </c>
      <c r="D77" s="14">
        <v>37.729999999999997</v>
      </c>
      <c r="E77" s="15">
        <v>0.14000000000000001</v>
      </c>
      <c r="F77" s="183">
        <v>0.75</v>
      </c>
      <c r="G77" s="2">
        <f t="shared" si="392"/>
        <v>5.2822000000000005</v>
      </c>
      <c r="H77" s="65">
        <f t="shared" si="393"/>
        <v>43.0122</v>
      </c>
      <c r="I77" s="9">
        <f t="shared" si="394"/>
        <v>9.0325620000000004</v>
      </c>
      <c r="J77" s="66">
        <f t="shared" si="395"/>
        <v>52.044761999999999</v>
      </c>
      <c r="L77" s="153">
        <f t="shared" ref="L77" si="408">D77*F77</f>
        <v>28.297499999999999</v>
      </c>
      <c r="M77" s="65">
        <f t="shared" ref="M77" si="409">D77+L77</f>
        <v>66.027500000000003</v>
      </c>
      <c r="N77" s="9">
        <f t="shared" ref="N77" si="410">M77*0.21</f>
        <v>13.865775000000001</v>
      </c>
      <c r="O77" s="66">
        <f t="shared" ref="O77" si="411">M77+N77</f>
        <v>79.893275000000003</v>
      </c>
    </row>
    <row r="78" spans="1:15" x14ac:dyDescent="0.3">
      <c r="A78" s="11" t="s">
        <v>419</v>
      </c>
      <c r="B78" s="12" t="s">
        <v>420</v>
      </c>
      <c r="C78" s="13" t="s">
        <v>1655</v>
      </c>
      <c r="D78" s="14">
        <v>36.25</v>
      </c>
      <c r="E78" s="15">
        <v>0.14000000000000001</v>
      </c>
      <c r="F78" s="183">
        <v>0.75</v>
      </c>
      <c r="G78" s="2">
        <f t="shared" si="392"/>
        <v>5.0750000000000002</v>
      </c>
      <c r="H78" s="65">
        <f t="shared" si="393"/>
        <v>41.325000000000003</v>
      </c>
      <c r="I78" s="9">
        <f t="shared" si="394"/>
        <v>8.6782500000000002</v>
      </c>
      <c r="J78" s="66">
        <f t="shared" si="395"/>
        <v>50.003250000000001</v>
      </c>
      <c r="L78" s="153">
        <f t="shared" ref="L78" si="412">D78*F78</f>
        <v>27.1875</v>
      </c>
      <c r="M78" s="65">
        <f t="shared" ref="M78" si="413">D78+L78</f>
        <v>63.4375</v>
      </c>
      <c r="N78" s="9">
        <f t="shared" ref="N78" si="414">M78*0.21</f>
        <v>13.321875</v>
      </c>
      <c r="O78" s="66">
        <f t="shared" ref="O78" si="415">M78+N78</f>
        <v>76.759375000000006</v>
      </c>
    </row>
    <row r="79" spans="1:15" x14ac:dyDescent="0.3">
      <c r="A79" s="11" t="s">
        <v>421</v>
      </c>
      <c r="B79" s="12" t="s">
        <v>422</v>
      </c>
      <c r="C79" s="13" t="s">
        <v>1655</v>
      </c>
      <c r="D79" s="14">
        <v>34.770000000000003</v>
      </c>
      <c r="E79" s="15">
        <v>0.14000000000000001</v>
      </c>
      <c r="F79" s="183">
        <v>0.75</v>
      </c>
      <c r="G79" s="2">
        <f t="shared" si="392"/>
        <v>4.8678000000000008</v>
      </c>
      <c r="H79" s="65">
        <f t="shared" si="393"/>
        <v>39.637800000000006</v>
      </c>
      <c r="I79" s="9">
        <f t="shared" si="394"/>
        <v>8.3239380000000001</v>
      </c>
      <c r="J79" s="66">
        <f t="shared" si="395"/>
        <v>47.961738000000004</v>
      </c>
      <c r="L79" s="153">
        <f t="shared" ref="L79" si="416">D79*F79</f>
        <v>26.077500000000001</v>
      </c>
      <c r="M79" s="65">
        <f t="shared" ref="M79" si="417">D79+L79</f>
        <v>60.847500000000004</v>
      </c>
      <c r="N79" s="9">
        <f t="shared" ref="N79" si="418">M79*0.21</f>
        <v>12.777975</v>
      </c>
      <c r="O79" s="66">
        <f t="shared" ref="O79" si="419">M79+N79</f>
        <v>73.625475000000009</v>
      </c>
    </row>
    <row r="80" spans="1:15" x14ac:dyDescent="0.3">
      <c r="A80" s="11" t="s">
        <v>583</v>
      </c>
      <c r="B80" s="12" t="s">
        <v>584</v>
      </c>
      <c r="C80" s="13" t="s">
        <v>1655</v>
      </c>
      <c r="D80" s="14">
        <v>33.29</v>
      </c>
      <c r="E80" s="15">
        <v>0.14000000000000001</v>
      </c>
      <c r="F80" s="183">
        <v>0.75</v>
      </c>
      <c r="G80" s="2">
        <f t="shared" ref="G80" si="420">D80*E80</f>
        <v>4.6606000000000005</v>
      </c>
      <c r="H80" s="65">
        <f t="shared" ref="H80" si="421">G80+D80</f>
        <v>37.950600000000001</v>
      </c>
      <c r="I80" s="9">
        <f t="shared" ref="I80" si="422">H80*0.21</f>
        <v>7.9696259999999999</v>
      </c>
      <c r="J80" s="66">
        <f t="shared" ref="J80" si="423">H80+I80</f>
        <v>45.920226</v>
      </c>
      <c r="L80" s="153">
        <f t="shared" ref="L80" si="424">D80*F80</f>
        <v>24.967500000000001</v>
      </c>
      <c r="M80" s="65">
        <f t="shared" ref="M80" si="425">D80+L80</f>
        <v>58.2575</v>
      </c>
      <c r="N80" s="9">
        <f t="shared" ref="N80" si="426">M80*0.21</f>
        <v>12.234074999999999</v>
      </c>
      <c r="O80" s="66">
        <f t="shared" ref="O80" si="427">M80+N80</f>
        <v>70.491574999999997</v>
      </c>
    </row>
    <row r="81" spans="1:15" x14ac:dyDescent="0.3">
      <c r="A81" s="11" t="s">
        <v>1263</v>
      </c>
      <c r="B81" s="12" t="s">
        <v>1264</v>
      </c>
      <c r="C81" s="13" t="s">
        <v>1655</v>
      </c>
      <c r="D81" s="14">
        <v>31.81</v>
      </c>
      <c r="E81" s="15">
        <v>0.14000000000000001</v>
      </c>
      <c r="F81" s="183">
        <v>0.75</v>
      </c>
      <c r="G81" s="2">
        <f t="shared" ref="G81" si="428">D81*E81</f>
        <v>4.4534000000000002</v>
      </c>
      <c r="H81" s="65">
        <f t="shared" ref="H81" si="429">G81+D81</f>
        <v>36.263399999999997</v>
      </c>
      <c r="I81" s="9">
        <f t="shared" ref="I81" si="430">H81*0.21</f>
        <v>7.6153139999999988</v>
      </c>
      <c r="J81" s="66">
        <f t="shared" ref="J81" si="431">H81+I81</f>
        <v>43.878713999999995</v>
      </c>
      <c r="L81" s="153">
        <f t="shared" ref="L81" si="432">D81*F81</f>
        <v>23.857499999999998</v>
      </c>
      <c r="M81" s="65">
        <f t="shared" ref="M81" si="433">D81+L81</f>
        <v>55.667499999999997</v>
      </c>
      <c r="N81" s="9">
        <f t="shared" ref="N81" si="434">M81*0.21</f>
        <v>11.690174999999998</v>
      </c>
      <c r="O81" s="66">
        <f t="shared" ref="O81" si="435">M81+N81</f>
        <v>67.357675</v>
      </c>
    </row>
    <row r="82" spans="1:15" x14ac:dyDescent="0.3">
      <c r="A82" s="11" t="s">
        <v>1265</v>
      </c>
      <c r="B82" s="12" t="s">
        <v>1266</v>
      </c>
      <c r="C82" s="13" t="s">
        <v>1655</v>
      </c>
      <c r="D82" s="14">
        <v>30.33</v>
      </c>
      <c r="E82" s="15">
        <v>0.14000000000000001</v>
      </c>
      <c r="F82" s="183">
        <v>0.75</v>
      </c>
      <c r="G82" s="2">
        <f t="shared" ref="G82" si="436">D82*E82</f>
        <v>4.2462</v>
      </c>
      <c r="H82" s="65">
        <f t="shared" ref="H82" si="437">G82+D82</f>
        <v>34.5762</v>
      </c>
      <c r="I82" s="9">
        <f t="shared" ref="I82" si="438">H82*0.21</f>
        <v>7.2610019999999995</v>
      </c>
      <c r="J82" s="66">
        <f t="shared" ref="J82" si="439">H82+I82</f>
        <v>41.837201999999998</v>
      </c>
      <c r="L82" s="153">
        <f t="shared" ref="L82" si="440">D82*F82</f>
        <v>22.747499999999999</v>
      </c>
      <c r="M82" s="65">
        <f t="shared" ref="M82" si="441">D82+L82</f>
        <v>53.077500000000001</v>
      </c>
      <c r="N82" s="9">
        <f t="shared" ref="N82" si="442">M82*0.21</f>
        <v>11.146274999999999</v>
      </c>
      <c r="O82" s="66">
        <f t="shared" ref="O82" si="443">M82+N82</f>
        <v>64.223775000000003</v>
      </c>
    </row>
    <row r="83" spans="1:15" x14ac:dyDescent="0.3">
      <c r="A83" s="11" t="s">
        <v>1284</v>
      </c>
      <c r="B83" s="12" t="s">
        <v>1621</v>
      </c>
      <c r="C83" s="13" t="s">
        <v>1655</v>
      </c>
      <c r="D83" s="14">
        <v>28.85</v>
      </c>
      <c r="E83" s="15">
        <v>0.14000000000000001</v>
      </c>
      <c r="F83" s="183">
        <v>0.75</v>
      </c>
      <c r="G83" s="2">
        <f t="shared" ref="G83" si="444">D83*E83</f>
        <v>4.0390000000000006</v>
      </c>
      <c r="H83" s="65">
        <f t="shared" ref="H83" si="445">G83+D83</f>
        <v>32.889000000000003</v>
      </c>
      <c r="I83" s="9">
        <f t="shared" ref="I83" si="446">H83*0.21</f>
        <v>6.9066900000000002</v>
      </c>
      <c r="J83" s="66">
        <f t="shared" ref="J83" si="447">H83+I83</f>
        <v>39.79569</v>
      </c>
      <c r="L83" s="153">
        <f t="shared" ref="L83" si="448">D83*F83</f>
        <v>21.637500000000003</v>
      </c>
      <c r="M83" s="65">
        <f t="shared" ref="M83" si="449">D83+L83</f>
        <v>50.487500000000004</v>
      </c>
      <c r="N83" s="9">
        <f t="shared" ref="N83" si="450">M83*0.21</f>
        <v>10.602375</v>
      </c>
      <c r="O83" s="66">
        <f t="shared" ref="O83" si="451">M83+N83</f>
        <v>61.089875000000006</v>
      </c>
    </row>
    <row r="84" spans="1:15" x14ac:dyDescent="0.3">
      <c r="A84" s="11" t="s">
        <v>1285</v>
      </c>
      <c r="B84" s="12" t="s">
        <v>1622</v>
      </c>
      <c r="C84" s="13" t="s">
        <v>1655</v>
      </c>
      <c r="D84" s="14">
        <v>27.37</v>
      </c>
      <c r="E84" s="15">
        <v>0.14000000000000001</v>
      </c>
      <c r="F84" s="183">
        <v>0.75</v>
      </c>
      <c r="G84" s="2">
        <f t="shared" ref="G84" si="452">D84*E84</f>
        <v>3.8318000000000003</v>
      </c>
      <c r="H84" s="65">
        <f t="shared" ref="H84" si="453">G84+D84</f>
        <v>31.201800000000002</v>
      </c>
      <c r="I84" s="9">
        <f t="shared" ref="I84" si="454">H84*0.21</f>
        <v>6.552378</v>
      </c>
      <c r="J84" s="66">
        <f t="shared" ref="J84" si="455">H84+I84</f>
        <v>37.754178000000003</v>
      </c>
      <c r="L84" s="153">
        <f t="shared" ref="L84" si="456">D84*F84</f>
        <v>20.5275</v>
      </c>
      <c r="M84" s="65">
        <f t="shared" ref="M84" si="457">D84+L84</f>
        <v>47.897500000000001</v>
      </c>
      <c r="N84" s="9">
        <f t="shared" ref="N84" si="458">M84*0.21</f>
        <v>10.058475</v>
      </c>
      <c r="O84" s="66">
        <f t="shared" ref="O84" si="459">M84+N84</f>
        <v>57.955975000000002</v>
      </c>
    </row>
    <row r="85" spans="1:15" x14ac:dyDescent="0.3">
      <c r="A85" s="11" t="s">
        <v>1422</v>
      </c>
      <c r="B85" s="12" t="s">
        <v>1423</v>
      </c>
      <c r="C85" s="13" t="s">
        <v>1655</v>
      </c>
      <c r="D85" s="14">
        <v>25.89</v>
      </c>
      <c r="E85" s="15">
        <v>0.14000000000000001</v>
      </c>
      <c r="F85" s="183">
        <v>0.75</v>
      </c>
      <c r="G85" s="2">
        <f t="shared" ref="G85" si="460">D85*E85</f>
        <v>3.6246000000000005</v>
      </c>
      <c r="H85" s="65">
        <f t="shared" ref="H85" si="461">G85+D85</f>
        <v>29.514600000000002</v>
      </c>
      <c r="I85" s="9">
        <f t="shared" ref="I85" si="462">H85*0.21</f>
        <v>6.1980659999999999</v>
      </c>
      <c r="J85" s="66">
        <f t="shared" ref="J85" si="463">H85+I85</f>
        <v>35.712665999999999</v>
      </c>
      <c r="L85" s="153">
        <f t="shared" ref="L85" si="464">D85*F85</f>
        <v>19.4175</v>
      </c>
      <c r="M85" s="65">
        <f t="shared" ref="M85" si="465">D85+L85</f>
        <v>45.307500000000005</v>
      </c>
      <c r="N85" s="9">
        <f t="shared" ref="N85" si="466">M85*0.21</f>
        <v>9.5145750000000007</v>
      </c>
      <c r="O85" s="66">
        <f t="shared" ref="O85" si="467">M85+N85</f>
        <v>54.822075000000005</v>
      </c>
    </row>
    <row r="87" spans="1:15" x14ac:dyDescent="0.3">
      <c r="A87" s="292" t="s">
        <v>334</v>
      </c>
      <c r="B87" s="293" t="s">
        <v>392</v>
      </c>
      <c r="C87" s="294" t="s">
        <v>1655</v>
      </c>
      <c r="D87" s="295">
        <v>9.5</v>
      </c>
      <c r="E87" s="296">
        <v>0.76</v>
      </c>
      <c r="F87" s="299">
        <v>0.65</v>
      </c>
      <c r="G87" s="2">
        <f t="shared" ref="G87:G94" si="468">D87*E87</f>
        <v>7.22</v>
      </c>
      <c r="H87" s="297">
        <f t="shared" ref="H87:H94" si="469">G87+D87</f>
        <v>16.72</v>
      </c>
      <c r="I87" s="9">
        <f t="shared" ref="I87:I94" si="470">H87*0.21</f>
        <v>3.5111999999999997</v>
      </c>
      <c r="J87" s="298">
        <f t="shared" ref="J87:J94" si="471">H87+I87</f>
        <v>20.231199999999998</v>
      </c>
      <c r="L87" s="153">
        <f t="shared" ref="L87" si="472">D87*F87</f>
        <v>6.1749999999999998</v>
      </c>
      <c r="M87" s="297">
        <f t="shared" ref="M87" si="473">D87+L87</f>
        <v>15.675000000000001</v>
      </c>
      <c r="N87" s="9">
        <f t="shared" ref="N87" si="474">M87*0.21</f>
        <v>3.29175</v>
      </c>
      <c r="O87" s="298">
        <f t="shared" ref="O87" si="475">M87+N87</f>
        <v>18.966750000000001</v>
      </c>
    </row>
    <row r="88" spans="1:15" x14ac:dyDescent="0.3">
      <c r="A88" s="292" t="s">
        <v>923</v>
      </c>
      <c r="B88" s="293" t="s">
        <v>416</v>
      </c>
      <c r="C88" s="294" t="s">
        <v>1655</v>
      </c>
      <c r="D88" s="295">
        <v>10</v>
      </c>
      <c r="E88" s="296">
        <v>0.76</v>
      </c>
      <c r="F88" s="299">
        <v>0.65</v>
      </c>
      <c r="G88" s="2">
        <f t="shared" si="468"/>
        <v>7.6</v>
      </c>
      <c r="H88" s="297">
        <f t="shared" si="469"/>
        <v>17.600000000000001</v>
      </c>
      <c r="I88" s="9">
        <f t="shared" si="470"/>
        <v>3.6960000000000002</v>
      </c>
      <c r="J88" s="298">
        <f t="shared" si="471"/>
        <v>21.296000000000003</v>
      </c>
      <c r="L88" s="153">
        <f t="shared" ref="L88:L89" si="476">D88*F88</f>
        <v>6.5</v>
      </c>
      <c r="M88" s="297">
        <f t="shared" ref="M88:M89" si="477">D88+L88</f>
        <v>16.5</v>
      </c>
      <c r="N88" s="9">
        <f t="shared" ref="N88:N89" si="478">M88*0.21</f>
        <v>3.4649999999999999</v>
      </c>
      <c r="O88" s="298">
        <f t="shared" ref="O88:O89" si="479">M88+N88</f>
        <v>19.965</v>
      </c>
    </row>
    <row r="89" spans="1:15" x14ac:dyDescent="0.3">
      <c r="A89" s="292" t="s">
        <v>925</v>
      </c>
      <c r="B89" s="293" t="s">
        <v>1352</v>
      </c>
      <c r="C89" s="294" t="s">
        <v>1655</v>
      </c>
      <c r="D89" s="295">
        <v>10.5</v>
      </c>
      <c r="E89" s="296">
        <v>0.76</v>
      </c>
      <c r="F89" s="299">
        <v>0.65</v>
      </c>
      <c r="G89" s="2">
        <f t="shared" ref="G89" si="480">D89*E89</f>
        <v>7.98</v>
      </c>
      <c r="H89" s="297">
        <f t="shared" ref="H89" si="481">G89+D89</f>
        <v>18.48</v>
      </c>
      <c r="I89" s="9">
        <f t="shared" ref="I89" si="482">H89*0.21</f>
        <v>3.8807999999999998</v>
      </c>
      <c r="J89" s="298">
        <f t="shared" ref="J89" si="483">H89+I89</f>
        <v>22.360800000000001</v>
      </c>
      <c r="L89" s="153">
        <f t="shared" si="476"/>
        <v>6.8250000000000002</v>
      </c>
      <c r="M89" s="297">
        <f t="shared" si="477"/>
        <v>17.324999999999999</v>
      </c>
      <c r="N89" s="9">
        <f t="shared" si="478"/>
        <v>3.6382499999999998</v>
      </c>
      <c r="O89" s="298">
        <f t="shared" si="479"/>
        <v>20.963249999999999</v>
      </c>
    </row>
    <row r="90" spans="1:15" x14ac:dyDescent="0.3">
      <c r="A90" s="292" t="s">
        <v>1053</v>
      </c>
      <c r="B90" s="293" t="s">
        <v>1353</v>
      </c>
      <c r="C90" s="294" t="s">
        <v>1655</v>
      </c>
      <c r="D90" s="295">
        <v>11</v>
      </c>
      <c r="E90" s="296">
        <v>0.76</v>
      </c>
      <c r="F90" s="299">
        <v>0.65</v>
      </c>
      <c r="G90" s="2">
        <f t="shared" ref="G90" si="484">D90*E90</f>
        <v>8.36</v>
      </c>
      <c r="H90" s="297">
        <f t="shared" ref="H90" si="485">G90+D90</f>
        <v>19.36</v>
      </c>
      <c r="I90" s="9">
        <f t="shared" ref="I90" si="486">H90*0.21</f>
        <v>4.0655999999999999</v>
      </c>
      <c r="J90" s="298">
        <f t="shared" ref="J90" si="487">H90+I90</f>
        <v>23.425599999999999</v>
      </c>
      <c r="L90" s="153">
        <f t="shared" ref="L90" si="488">D90*F90</f>
        <v>7.15</v>
      </c>
      <c r="M90" s="297">
        <f t="shared" ref="M90" si="489">D90+L90</f>
        <v>18.149999999999999</v>
      </c>
      <c r="N90" s="9">
        <f t="shared" ref="N90" si="490">M90*0.21</f>
        <v>3.8114999999999997</v>
      </c>
      <c r="O90" s="298">
        <f t="shared" ref="O90" si="491">M90+N90</f>
        <v>21.961499999999997</v>
      </c>
    </row>
    <row r="91" spans="1:15" x14ac:dyDescent="0.3">
      <c r="A91" s="292" t="s">
        <v>1471</v>
      </c>
      <c r="B91" s="293" t="s">
        <v>423</v>
      </c>
      <c r="C91" s="294" t="s">
        <v>1655</v>
      </c>
      <c r="D91" s="295">
        <v>11.5</v>
      </c>
      <c r="E91" s="296">
        <v>0.76</v>
      </c>
      <c r="F91" s="299">
        <v>0.65</v>
      </c>
      <c r="G91" s="2">
        <f t="shared" si="468"/>
        <v>8.74</v>
      </c>
      <c r="H91" s="297">
        <f t="shared" si="469"/>
        <v>20.240000000000002</v>
      </c>
      <c r="I91" s="9">
        <f t="shared" si="470"/>
        <v>4.2504</v>
      </c>
      <c r="J91" s="298">
        <f t="shared" si="471"/>
        <v>24.490400000000001</v>
      </c>
      <c r="L91" s="153">
        <f t="shared" ref="L91" si="492">D91*F91</f>
        <v>7.4750000000000005</v>
      </c>
      <c r="M91" s="297">
        <f t="shared" ref="M91" si="493">D91+L91</f>
        <v>18.975000000000001</v>
      </c>
      <c r="N91" s="9">
        <f t="shared" ref="N91" si="494">M91*0.21</f>
        <v>3.98475</v>
      </c>
      <c r="O91" s="298">
        <f t="shared" ref="O91" si="495">M91+N91</f>
        <v>22.95975</v>
      </c>
    </row>
    <row r="92" spans="1:15" x14ac:dyDescent="0.3">
      <c r="A92" s="292" t="s">
        <v>1507</v>
      </c>
      <c r="B92" s="293" t="s">
        <v>1322</v>
      </c>
      <c r="C92" s="294" t="s">
        <v>1655</v>
      </c>
      <c r="D92" s="295">
        <v>12</v>
      </c>
      <c r="E92" s="296">
        <v>0.76</v>
      </c>
      <c r="F92" s="299">
        <v>0.65</v>
      </c>
      <c r="G92" s="2">
        <f t="shared" si="468"/>
        <v>9.120000000000001</v>
      </c>
      <c r="H92" s="297">
        <f t="shared" si="469"/>
        <v>21.12</v>
      </c>
      <c r="I92" s="9">
        <f t="shared" si="470"/>
        <v>4.4352</v>
      </c>
      <c r="J92" s="298">
        <f t="shared" si="471"/>
        <v>25.555199999999999</v>
      </c>
      <c r="L92" s="153">
        <f t="shared" ref="L92" si="496">D92*F92</f>
        <v>7.8000000000000007</v>
      </c>
      <c r="M92" s="297">
        <f t="shared" ref="M92" si="497">D92+L92</f>
        <v>19.8</v>
      </c>
      <c r="N92" s="9">
        <f t="shared" ref="N92" si="498">M92*0.21</f>
        <v>4.1580000000000004</v>
      </c>
      <c r="O92" s="298">
        <f t="shared" ref="O92" si="499">M92+N92</f>
        <v>23.958000000000002</v>
      </c>
    </row>
    <row r="93" spans="1:15" x14ac:dyDescent="0.3">
      <c r="A93" s="292" t="s">
        <v>1508</v>
      </c>
      <c r="B93" s="293" t="s">
        <v>1323</v>
      </c>
      <c r="C93" s="294" t="s">
        <v>1655</v>
      </c>
      <c r="D93" s="295">
        <v>12.5</v>
      </c>
      <c r="E93" s="296">
        <v>0.76</v>
      </c>
      <c r="F93" s="299">
        <v>0.65</v>
      </c>
      <c r="G93" s="2">
        <f t="shared" si="468"/>
        <v>9.5</v>
      </c>
      <c r="H93" s="297">
        <f t="shared" si="469"/>
        <v>22</v>
      </c>
      <c r="I93" s="9">
        <f t="shared" si="470"/>
        <v>4.62</v>
      </c>
      <c r="J93" s="298">
        <f t="shared" si="471"/>
        <v>26.62</v>
      </c>
      <c r="L93" s="153">
        <f t="shared" ref="L93" si="500">D93*F93</f>
        <v>8.125</v>
      </c>
      <c r="M93" s="297">
        <f t="shared" ref="M93" si="501">D93+L93</f>
        <v>20.625</v>
      </c>
      <c r="N93" s="9">
        <f t="shared" ref="N93" si="502">M93*0.21</f>
        <v>4.3312499999999998</v>
      </c>
      <c r="O93" s="298">
        <f t="shared" ref="O93" si="503">M93+N93</f>
        <v>24.956250000000001</v>
      </c>
    </row>
    <row r="94" spans="1:15" x14ac:dyDescent="0.3">
      <c r="A94" s="292" t="s">
        <v>1509</v>
      </c>
      <c r="B94" s="293" t="s">
        <v>1324</v>
      </c>
      <c r="C94" s="294" t="s">
        <v>1655</v>
      </c>
      <c r="D94" s="295">
        <v>13</v>
      </c>
      <c r="E94" s="296">
        <v>0.76</v>
      </c>
      <c r="F94" s="299">
        <v>0.65</v>
      </c>
      <c r="G94" s="2">
        <f t="shared" si="468"/>
        <v>9.8800000000000008</v>
      </c>
      <c r="H94" s="297">
        <f t="shared" si="469"/>
        <v>22.880000000000003</v>
      </c>
      <c r="I94" s="9">
        <f t="shared" si="470"/>
        <v>4.8048000000000002</v>
      </c>
      <c r="J94" s="298">
        <f t="shared" si="471"/>
        <v>27.684800000000003</v>
      </c>
      <c r="L94" s="153">
        <f t="shared" ref="L94" si="504">D94*F94</f>
        <v>8.4500000000000011</v>
      </c>
      <c r="M94" s="297">
        <f t="shared" ref="M94" si="505">D94+L94</f>
        <v>21.450000000000003</v>
      </c>
      <c r="N94" s="9">
        <f t="shared" ref="N94" si="506">M94*0.21</f>
        <v>4.5045000000000002</v>
      </c>
      <c r="O94" s="298">
        <f t="shared" ref="O94" si="507">M94+N94</f>
        <v>25.954500000000003</v>
      </c>
    </row>
    <row r="96" spans="1:15" x14ac:dyDescent="0.3">
      <c r="A96" s="300" t="s">
        <v>336</v>
      </c>
      <c r="B96" s="301" t="s">
        <v>429</v>
      </c>
      <c r="C96" s="302" t="s">
        <v>1655</v>
      </c>
      <c r="D96" s="303">
        <v>1.53</v>
      </c>
      <c r="E96" s="304">
        <v>0.44</v>
      </c>
      <c r="F96" s="305">
        <v>0.33</v>
      </c>
      <c r="G96" s="2">
        <f>D96*E96</f>
        <v>0.67320000000000002</v>
      </c>
      <c r="H96" s="306">
        <f>G96+D96</f>
        <v>2.2031999999999998</v>
      </c>
      <c r="I96" s="9">
        <f>H96*0.21</f>
        <v>0.46267199999999997</v>
      </c>
      <c r="J96" s="307">
        <f>H96+I96</f>
        <v>2.6658719999999998</v>
      </c>
      <c r="L96" s="153">
        <f t="shared" ref="L96" si="508">D96*F96</f>
        <v>0.50490000000000002</v>
      </c>
      <c r="M96" s="306">
        <f t="shared" ref="M96" si="509">D96+L96</f>
        <v>2.0348999999999999</v>
      </c>
      <c r="N96" s="9">
        <f t="shared" ref="N96" si="510">M96*0.21</f>
        <v>0.42732899999999996</v>
      </c>
      <c r="O96" s="307">
        <f t="shared" ref="O96" si="511">M96+N96</f>
        <v>2.4622289999999998</v>
      </c>
    </row>
    <row r="98" spans="1:15" x14ac:dyDescent="0.3">
      <c r="A98" s="410" t="s">
        <v>391</v>
      </c>
      <c r="B98" s="411" t="s">
        <v>1089</v>
      </c>
      <c r="C98" s="412" t="s">
        <v>1655</v>
      </c>
      <c r="D98" s="413">
        <v>8.6999999999999993</v>
      </c>
      <c r="E98" s="414">
        <v>0.13</v>
      </c>
      <c r="F98" s="415">
        <v>0.24</v>
      </c>
      <c r="G98" s="2">
        <f>D98*E98</f>
        <v>1.131</v>
      </c>
      <c r="H98" s="416">
        <f>G98+D98</f>
        <v>9.8309999999999995</v>
      </c>
      <c r="I98" s="9">
        <f>H98*0.21</f>
        <v>2.0645099999999998</v>
      </c>
      <c r="J98" s="417">
        <f>H98+I98</f>
        <v>11.89551</v>
      </c>
      <c r="L98" s="153">
        <f t="shared" ref="L98" si="512">D98*F98</f>
        <v>2.0879999999999996</v>
      </c>
      <c r="M98" s="416">
        <f t="shared" ref="M98" si="513">D98+L98</f>
        <v>10.787999999999998</v>
      </c>
      <c r="N98" s="9">
        <f t="shared" ref="N98" si="514">M98*0.21</f>
        <v>2.2654799999999997</v>
      </c>
      <c r="O98" s="417">
        <f t="shared" ref="O98" si="515">M98+N98</f>
        <v>13.053479999999999</v>
      </c>
    </row>
    <row r="100" spans="1:15" x14ac:dyDescent="0.3">
      <c r="A100" s="426" t="s">
        <v>428</v>
      </c>
      <c r="B100" s="427" t="s">
        <v>1429</v>
      </c>
      <c r="C100" s="428" t="s">
        <v>1655</v>
      </c>
      <c r="D100" s="429">
        <v>6.7</v>
      </c>
      <c r="E100" s="430">
        <v>0.65</v>
      </c>
      <c r="F100" s="431">
        <v>0.5</v>
      </c>
      <c r="G100" s="2">
        <f>D100*E100</f>
        <v>4.3550000000000004</v>
      </c>
      <c r="H100" s="432">
        <f>G100+D100</f>
        <v>11.055</v>
      </c>
      <c r="I100" s="9">
        <f>H100*0.21</f>
        <v>2.3215499999999998</v>
      </c>
      <c r="J100" s="433">
        <f>H100+I100</f>
        <v>13.37655</v>
      </c>
      <c r="L100" s="153">
        <f t="shared" ref="L100" si="516">D100*F100</f>
        <v>3.35</v>
      </c>
      <c r="M100" s="432">
        <f t="shared" ref="M100" si="517">D100+L100</f>
        <v>10.050000000000001</v>
      </c>
      <c r="N100" s="9">
        <f t="shared" ref="N100" si="518">M100*0.21</f>
        <v>2.1105</v>
      </c>
      <c r="O100" s="433">
        <f t="shared" ref="O100" si="519">M100+N100</f>
        <v>12.160500000000001</v>
      </c>
    </row>
    <row r="101" spans="1:15" x14ac:dyDescent="0.3">
      <c r="A101" s="426" t="s">
        <v>1510</v>
      </c>
      <c r="B101" s="427" t="s">
        <v>1430</v>
      </c>
      <c r="C101" s="428" t="s">
        <v>1655</v>
      </c>
      <c r="D101" s="429">
        <v>7.8</v>
      </c>
      <c r="E101" s="430">
        <v>0.65</v>
      </c>
      <c r="F101" s="431">
        <v>0.5</v>
      </c>
      <c r="G101" s="2">
        <f>D101*E101</f>
        <v>5.07</v>
      </c>
      <c r="H101" s="432">
        <f>G101+D101</f>
        <v>12.870000000000001</v>
      </c>
      <c r="I101" s="9">
        <f>H101*0.21</f>
        <v>2.7027000000000001</v>
      </c>
      <c r="J101" s="433">
        <f>H101+I101</f>
        <v>15.572700000000001</v>
      </c>
      <c r="L101" s="153">
        <f t="shared" ref="L101" si="520">D101*F101</f>
        <v>3.9</v>
      </c>
      <c r="M101" s="432">
        <f t="shared" ref="M101" si="521">D101+L101</f>
        <v>11.7</v>
      </c>
      <c r="N101" s="9">
        <f t="shared" ref="N101" si="522">M101*0.21</f>
        <v>2.4569999999999999</v>
      </c>
      <c r="O101" s="433">
        <f t="shared" ref="O101" si="523">M101+N101</f>
        <v>14.157</v>
      </c>
    </row>
    <row r="102" spans="1:15" x14ac:dyDescent="0.3">
      <c r="A102" s="426" t="s">
        <v>1511</v>
      </c>
      <c r="B102" s="427" t="s">
        <v>1431</v>
      </c>
      <c r="C102" s="428" t="s">
        <v>1655</v>
      </c>
      <c r="D102" s="429">
        <v>8.9</v>
      </c>
      <c r="E102" s="430">
        <v>0.65</v>
      </c>
      <c r="F102" s="431">
        <v>0.5</v>
      </c>
      <c r="G102" s="2">
        <f>D102*E102</f>
        <v>5.7850000000000001</v>
      </c>
      <c r="H102" s="432">
        <f>G102+D102</f>
        <v>14.685</v>
      </c>
      <c r="I102" s="9">
        <f>H102*0.21</f>
        <v>3.08385</v>
      </c>
      <c r="J102" s="433">
        <f>H102+I102</f>
        <v>17.76885</v>
      </c>
      <c r="L102" s="153">
        <f t="shared" ref="L102" si="524">D102*F102</f>
        <v>4.45</v>
      </c>
      <c r="M102" s="432">
        <f t="shared" ref="M102" si="525">D102+L102</f>
        <v>13.350000000000001</v>
      </c>
      <c r="N102" s="9">
        <f t="shared" ref="N102" si="526">M102*0.21</f>
        <v>2.8035000000000001</v>
      </c>
      <c r="O102" s="433">
        <f t="shared" ref="O102" si="527">M102+N102</f>
        <v>16.153500000000001</v>
      </c>
    </row>
    <row r="104" spans="1:15" x14ac:dyDescent="0.3">
      <c r="A104" s="418" t="s">
        <v>1088</v>
      </c>
      <c r="B104" s="419" t="s">
        <v>1099</v>
      </c>
      <c r="C104" s="420" t="s">
        <v>1655</v>
      </c>
      <c r="D104" s="421">
        <v>0.41</v>
      </c>
      <c r="E104" s="422">
        <v>0.06</v>
      </c>
      <c r="F104" s="423">
        <v>0.05</v>
      </c>
      <c r="G104" s="2">
        <f t="shared" ref="G104:G121" si="528">D104*E104</f>
        <v>2.4599999999999997E-2</v>
      </c>
      <c r="H104" s="424">
        <f t="shared" ref="H104:H121" si="529">G104+D104</f>
        <v>0.43459999999999999</v>
      </c>
      <c r="I104" s="9">
        <f t="shared" ref="I104:I121" si="530">H104*0.21</f>
        <v>9.1266E-2</v>
      </c>
      <c r="J104" s="425">
        <f t="shared" ref="J104:J121" si="531">H104+I104</f>
        <v>0.52586599999999994</v>
      </c>
      <c r="L104" s="153">
        <f t="shared" ref="L104" si="532">D104*F104</f>
        <v>2.0500000000000001E-2</v>
      </c>
      <c r="M104" s="424">
        <f t="shared" ref="M104" si="533">D104+L104</f>
        <v>0.43049999999999999</v>
      </c>
      <c r="N104" s="9">
        <f t="shared" ref="N104" si="534">M104*0.21</f>
        <v>9.0404999999999999E-2</v>
      </c>
      <c r="O104" s="425">
        <f t="shared" ref="O104" si="535">M104+N104</f>
        <v>0.52090499999999995</v>
      </c>
    </row>
    <row r="105" spans="1:15" x14ac:dyDescent="0.3">
      <c r="A105" s="418" t="s">
        <v>1512</v>
      </c>
      <c r="B105" s="419" t="s">
        <v>1100</v>
      </c>
      <c r="C105" s="420" t="s">
        <v>1655</v>
      </c>
      <c r="D105" s="421">
        <v>0.53</v>
      </c>
      <c r="E105" s="422">
        <v>0.08</v>
      </c>
      <c r="F105" s="423">
        <v>0.08</v>
      </c>
      <c r="G105" s="2">
        <f t="shared" si="528"/>
        <v>4.24E-2</v>
      </c>
      <c r="H105" s="424">
        <f t="shared" si="529"/>
        <v>0.57240000000000002</v>
      </c>
      <c r="I105" s="9">
        <f t="shared" si="530"/>
        <v>0.12020400000000001</v>
      </c>
      <c r="J105" s="425">
        <f t="shared" si="531"/>
        <v>0.692604</v>
      </c>
      <c r="L105" s="153">
        <f t="shared" ref="L105" si="536">D105*F105</f>
        <v>4.24E-2</v>
      </c>
      <c r="M105" s="424">
        <f t="shared" ref="M105" si="537">D105+L105</f>
        <v>0.57240000000000002</v>
      </c>
      <c r="N105" s="9">
        <f t="shared" ref="N105" si="538">M105*0.21</f>
        <v>0.12020400000000001</v>
      </c>
      <c r="O105" s="425">
        <f t="shared" ref="O105" si="539">M105+N105</f>
        <v>0.692604</v>
      </c>
    </row>
    <row r="106" spans="1:15" x14ac:dyDescent="0.3">
      <c r="A106" s="418" t="s">
        <v>1513</v>
      </c>
      <c r="B106" s="419" t="s">
        <v>1102</v>
      </c>
      <c r="C106" s="420" t="s">
        <v>1655</v>
      </c>
      <c r="D106" s="421">
        <v>1.26</v>
      </c>
      <c r="E106" s="422">
        <v>0.1</v>
      </c>
      <c r="F106" s="423">
        <v>0.11</v>
      </c>
      <c r="G106" s="2">
        <f t="shared" si="528"/>
        <v>0.126</v>
      </c>
      <c r="H106" s="424">
        <f t="shared" si="529"/>
        <v>1.3860000000000001</v>
      </c>
      <c r="I106" s="9">
        <f t="shared" si="530"/>
        <v>0.29106000000000004</v>
      </c>
      <c r="J106" s="425">
        <f t="shared" si="531"/>
        <v>1.6770600000000002</v>
      </c>
      <c r="L106" s="153">
        <f t="shared" ref="L106" si="540">D106*F106</f>
        <v>0.1386</v>
      </c>
      <c r="M106" s="424">
        <f t="shared" ref="M106" si="541">D106+L106</f>
        <v>1.3986000000000001</v>
      </c>
      <c r="N106" s="9">
        <f t="shared" ref="N106" si="542">M106*0.21</f>
        <v>0.29370600000000002</v>
      </c>
      <c r="O106" s="425">
        <f t="shared" ref="O106" si="543">M106+N106</f>
        <v>1.6923060000000001</v>
      </c>
    </row>
    <row r="107" spans="1:15" x14ac:dyDescent="0.3">
      <c r="A107" s="418" t="s">
        <v>1514</v>
      </c>
      <c r="B107" s="419" t="s">
        <v>1109</v>
      </c>
      <c r="C107" s="420" t="s">
        <v>1655</v>
      </c>
      <c r="D107" s="421">
        <v>3.03</v>
      </c>
      <c r="E107" s="422">
        <v>0.12</v>
      </c>
      <c r="F107" s="423">
        <v>0.14000000000000001</v>
      </c>
      <c r="G107" s="2">
        <f t="shared" si="528"/>
        <v>0.36359999999999998</v>
      </c>
      <c r="H107" s="424">
        <f t="shared" si="529"/>
        <v>3.3935999999999997</v>
      </c>
      <c r="I107" s="9">
        <f t="shared" si="530"/>
        <v>0.71265599999999996</v>
      </c>
      <c r="J107" s="425">
        <f t="shared" si="531"/>
        <v>4.1062560000000001</v>
      </c>
      <c r="L107" s="153">
        <f t="shared" ref="L107" si="544">D107*F107</f>
        <v>0.42420000000000002</v>
      </c>
      <c r="M107" s="424">
        <f t="shared" ref="M107" si="545">D107+L107</f>
        <v>3.4541999999999997</v>
      </c>
      <c r="N107" s="9">
        <f t="shared" ref="N107" si="546">M107*0.21</f>
        <v>0.72538199999999986</v>
      </c>
      <c r="O107" s="425">
        <f t="shared" ref="O107" si="547">M107+N107</f>
        <v>4.1795819999999999</v>
      </c>
    </row>
    <row r="108" spans="1:15" x14ac:dyDescent="0.3">
      <c r="A108" s="418" t="s">
        <v>1515</v>
      </c>
      <c r="B108" s="419" t="s">
        <v>1110</v>
      </c>
      <c r="C108" s="420" t="s">
        <v>1655</v>
      </c>
      <c r="D108" s="421">
        <v>2.91</v>
      </c>
      <c r="E108" s="422">
        <v>0.14000000000000001</v>
      </c>
      <c r="F108" s="423">
        <v>0.17</v>
      </c>
      <c r="G108" s="2">
        <f t="shared" si="528"/>
        <v>0.40740000000000004</v>
      </c>
      <c r="H108" s="424">
        <f t="shared" si="529"/>
        <v>3.3174000000000001</v>
      </c>
      <c r="I108" s="9">
        <f t="shared" si="530"/>
        <v>0.696654</v>
      </c>
      <c r="J108" s="425">
        <f t="shared" si="531"/>
        <v>4.0140539999999998</v>
      </c>
      <c r="L108" s="153">
        <f t="shared" ref="L108:L109" si="548">D108*F108</f>
        <v>0.49470000000000008</v>
      </c>
      <c r="M108" s="424">
        <f t="shared" ref="M108:M109" si="549">D108+L108</f>
        <v>3.4047000000000001</v>
      </c>
      <c r="N108" s="9">
        <f t="shared" ref="N108:N109" si="550">M108*0.21</f>
        <v>0.71498700000000004</v>
      </c>
      <c r="O108" s="425">
        <f t="shared" ref="O108:O109" si="551">M108+N108</f>
        <v>4.1196869999999999</v>
      </c>
    </row>
    <row r="109" spans="1:15" x14ac:dyDescent="0.3">
      <c r="A109" s="418" t="s">
        <v>1516</v>
      </c>
      <c r="B109" s="419" t="s">
        <v>1106</v>
      </c>
      <c r="C109" s="420" t="s">
        <v>1655</v>
      </c>
      <c r="D109" s="421">
        <v>1.65</v>
      </c>
      <c r="E109" s="422">
        <v>0.16</v>
      </c>
      <c r="F109" s="423">
        <v>0.2</v>
      </c>
      <c r="G109" s="2">
        <f t="shared" si="528"/>
        <v>0.26400000000000001</v>
      </c>
      <c r="H109" s="424">
        <f t="shared" si="529"/>
        <v>1.9139999999999999</v>
      </c>
      <c r="I109" s="9">
        <f t="shared" si="530"/>
        <v>0.40193999999999996</v>
      </c>
      <c r="J109" s="425">
        <f t="shared" si="531"/>
        <v>2.3159399999999999</v>
      </c>
      <c r="L109" s="153">
        <f t="shared" si="548"/>
        <v>0.33</v>
      </c>
      <c r="M109" s="424">
        <f t="shared" si="549"/>
        <v>1.98</v>
      </c>
      <c r="N109" s="9">
        <f t="shared" si="550"/>
        <v>0.4158</v>
      </c>
      <c r="O109" s="425">
        <f t="shared" si="551"/>
        <v>2.3957999999999999</v>
      </c>
    </row>
    <row r="110" spans="1:15" x14ac:dyDescent="0.3">
      <c r="A110" s="418" t="s">
        <v>1517</v>
      </c>
      <c r="B110" s="419" t="s">
        <v>1108</v>
      </c>
      <c r="C110" s="420" t="s">
        <v>1655</v>
      </c>
      <c r="D110" s="421">
        <v>2.42</v>
      </c>
      <c r="E110" s="422">
        <v>0.18</v>
      </c>
      <c r="F110" s="423">
        <v>0.23</v>
      </c>
      <c r="G110" s="2">
        <f t="shared" si="528"/>
        <v>0.43559999999999999</v>
      </c>
      <c r="H110" s="424">
        <f t="shared" si="529"/>
        <v>2.8555999999999999</v>
      </c>
      <c r="I110" s="9">
        <f t="shared" si="530"/>
        <v>0.59967599999999999</v>
      </c>
      <c r="J110" s="425">
        <f t="shared" si="531"/>
        <v>3.455276</v>
      </c>
      <c r="L110" s="153">
        <f t="shared" ref="L110" si="552">D110*F110</f>
        <v>0.55659999999999998</v>
      </c>
      <c r="M110" s="424">
        <f t="shared" ref="M110" si="553">D110+L110</f>
        <v>2.9765999999999999</v>
      </c>
      <c r="N110" s="9">
        <f t="shared" ref="N110" si="554">M110*0.21</f>
        <v>0.62508599999999992</v>
      </c>
      <c r="O110" s="425">
        <f t="shared" ref="O110" si="555">M110+N110</f>
        <v>3.6016859999999999</v>
      </c>
    </row>
    <row r="111" spans="1:15" x14ac:dyDescent="0.3">
      <c r="A111" s="418" t="s">
        <v>1518</v>
      </c>
      <c r="B111" s="419" t="s">
        <v>1112</v>
      </c>
      <c r="C111" s="420" t="s">
        <v>1655</v>
      </c>
      <c r="D111" s="421">
        <v>0.91</v>
      </c>
      <c r="E111" s="422">
        <v>0.2</v>
      </c>
      <c r="F111" s="423">
        <v>0.26</v>
      </c>
      <c r="G111" s="2">
        <f t="shared" si="528"/>
        <v>0.18200000000000002</v>
      </c>
      <c r="H111" s="424">
        <f t="shared" si="529"/>
        <v>1.0920000000000001</v>
      </c>
      <c r="I111" s="9">
        <f t="shared" si="530"/>
        <v>0.22932</v>
      </c>
      <c r="J111" s="425">
        <f t="shared" si="531"/>
        <v>1.3213200000000001</v>
      </c>
      <c r="L111" s="153">
        <f t="shared" ref="L111" si="556">D111*F111</f>
        <v>0.2366</v>
      </c>
      <c r="M111" s="424">
        <f t="shared" ref="M111" si="557">D111+L111</f>
        <v>1.1466000000000001</v>
      </c>
      <c r="N111" s="9">
        <f t="shared" ref="N111" si="558">M111*0.21</f>
        <v>0.240786</v>
      </c>
      <c r="O111" s="425">
        <f t="shared" ref="O111" si="559">M111+N111</f>
        <v>1.387386</v>
      </c>
    </row>
    <row r="112" spans="1:15" x14ac:dyDescent="0.3">
      <c r="A112" s="418" t="s">
        <v>1519</v>
      </c>
      <c r="B112" s="419" t="s">
        <v>1114</v>
      </c>
      <c r="C112" s="420" t="s">
        <v>1655</v>
      </c>
      <c r="D112" s="421">
        <v>5.47</v>
      </c>
      <c r="E112" s="422">
        <v>0.22</v>
      </c>
      <c r="F112" s="423">
        <v>0.28999999999999998</v>
      </c>
      <c r="G112" s="2">
        <f t="shared" si="528"/>
        <v>1.2034</v>
      </c>
      <c r="H112" s="424">
        <f t="shared" si="529"/>
        <v>6.6734</v>
      </c>
      <c r="I112" s="9">
        <f t="shared" si="530"/>
        <v>1.4014139999999999</v>
      </c>
      <c r="J112" s="425">
        <f t="shared" si="531"/>
        <v>8.0748139999999999</v>
      </c>
      <c r="L112" s="153">
        <f t="shared" ref="L112" si="560">D112*F112</f>
        <v>1.5862999999999998</v>
      </c>
      <c r="M112" s="424">
        <f t="shared" ref="M112" si="561">D112+L112</f>
        <v>7.0562999999999994</v>
      </c>
      <c r="N112" s="9">
        <f t="shared" ref="N112" si="562">M112*0.21</f>
        <v>1.4818229999999999</v>
      </c>
      <c r="O112" s="425">
        <f t="shared" ref="O112" si="563">M112+N112</f>
        <v>8.5381229999999988</v>
      </c>
    </row>
    <row r="113" spans="1:15" x14ac:dyDescent="0.3">
      <c r="A113" s="418" t="s">
        <v>1520</v>
      </c>
      <c r="B113" s="419" t="s">
        <v>1116</v>
      </c>
      <c r="C113" s="420" t="s">
        <v>1655</v>
      </c>
      <c r="D113" s="421">
        <v>3.67</v>
      </c>
      <c r="E113" s="422">
        <v>0.24</v>
      </c>
      <c r="F113" s="423">
        <v>0.32</v>
      </c>
      <c r="G113" s="2">
        <f t="shared" si="528"/>
        <v>0.88079999999999992</v>
      </c>
      <c r="H113" s="424">
        <f t="shared" si="529"/>
        <v>4.5507999999999997</v>
      </c>
      <c r="I113" s="9">
        <f t="shared" si="530"/>
        <v>0.95566799999999996</v>
      </c>
      <c r="J113" s="425">
        <f t="shared" si="531"/>
        <v>5.5064679999999999</v>
      </c>
      <c r="L113" s="153">
        <f t="shared" ref="L113" si="564">D113*F113</f>
        <v>1.1744000000000001</v>
      </c>
      <c r="M113" s="424">
        <f t="shared" ref="M113" si="565">D113+L113</f>
        <v>4.8444000000000003</v>
      </c>
      <c r="N113" s="9">
        <f t="shared" ref="N113" si="566">M113*0.21</f>
        <v>1.0173240000000001</v>
      </c>
      <c r="O113" s="425">
        <f t="shared" ref="O113" si="567">M113+N113</f>
        <v>5.8617240000000006</v>
      </c>
    </row>
    <row r="114" spans="1:15" x14ac:dyDescent="0.3">
      <c r="A114" s="418" t="s">
        <v>1521</v>
      </c>
      <c r="B114" s="419" t="s">
        <v>1118</v>
      </c>
      <c r="C114" s="420" t="s">
        <v>1655</v>
      </c>
      <c r="D114" s="421">
        <v>0.59</v>
      </c>
      <c r="E114" s="422">
        <v>0.26</v>
      </c>
      <c r="F114" s="423">
        <v>0.35</v>
      </c>
      <c r="G114" s="2">
        <f t="shared" si="528"/>
        <v>0.15340000000000001</v>
      </c>
      <c r="H114" s="424">
        <f t="shared" si="529"/>
        <v>0.74339999999999995</v>
      </c>
      <c r="I114" s="9">
        <f t="shared" si="530"/>
        <v>0.15611399999999998</v>
      </c>
      <c r="J114" s="425">
        <f t="shared" si="531"/>
        <v>0.89951399999999992</v>
      </c>
      <c r="L114" s="153">
        <f t="shared" ref="L114" si="568">D114*F114</f>
        <v>0.20649999999999999</v>
      </c>
      <c r="M114" s="424">
        <f t="shared" ref="M114" si="569">D114+L114</f>
        <v>0.79649999999999999</v>
      </c>
      <c r="N114" s="9">
        <f t="shared" ref="N114" si="570">M114*0.21</f>
        <v>0.167265</v>
      </c>
      <c r="O114" s="425">
        <f t="shared" ref="O114" si="571">M114+N114</f>
        <v>0.96376499999999998</v>
      </c>
    </row>
    <row r="115" spans="1:15" x14ac:dyDescent="0.3">
      <c r="A115" s="418" t="s">
        <v>1522</v>
      </c>
      <c r="B115" s="419" t="s">
        <v>1120</v>
      </c>
      <c r="C115" s="420" t="s">
        <v>1655</v>
      </c>
      <c r="D115" s="421">
        <v>10.26</v>
      </c>
      <c r="E115" s="422">
        <v>0.28000000000000003</v>
      </c>
      <c r="F115" s="423">
        <v>0.38</v>
      </c>
      <c r="G115" s="2">
        <f t="shared" si="528"/>
        <v>2.8728000000000002</v>
      </c>
      <c r="H115" s="424">
        <f t="shared" si="529"/>
        <v>13.1328</v>
      </c>
      <c r="I115" s="9">
        <f t="shared" si="530"/>
        <v>2.7578879999999999</v>
      </c>
      <c r="J115" s="425">
        <f t="shared" si="531"/>
        <v>15.890687999999999</v>
      </c>
      <c r="L115" s="153">
        <f t="shared" ref="L115" si="572">D115*F115</f>
        <v>3.8988</v>
      </c>
      <c r="M115" s="424">
        <f t="shared" ref="M115" si="573">D115+L115</f>
        <v>14.158799999999999</v>
      </c>
      <c r="N115" s="9">
        <f t="shared" ref="N115" si="574">M115*0.21</f>
        <v>2.9733479999999997</v>
      </c>
      <c r="O115" s="425">
        <f t="shared" ref="O115" si="575">M115+N115</f>
        <v>17.132148000000001</v>
      </c>
    </row>
    <row r="116" spans="1:15" x14ac:dyDescent="0.3">
      <c r="A116" s="418" t="s">
        <v>1523</v>
      </c>
      <c r="B116" s="419" t="s">
        <v>1122</v>
      </c>
      <c r="C116" s="420" t="s">
        <v>1655</v>
      </c>
      <c r="D116" s="421">
        <v>8.74</v>
      </c>
      <c r="E116" s="422">
        <v>0.3</v>
      </c>
      <c r="F116" s="423">
        <v>0.41</v>
      </c>
      <c r="G116" s="2">
        <f t="shared" si="528"/>
        <v>2.6219999999999999</v>
      </c>
      <c r="H116" s="424">
        <f t="shared" si="529"/>
        <v>11.362</v>
      </c>
      <c r="I116" s="9">
        <f t="shared" si="530"/>
        <v>2.3860199999999998</v>
      </c>
      <c r="J116" s="425">
        <f t="shared" si="531"/>
        <v>13.74802</v>
      </c>
      <c r="L116" s="153">
        <f t="shared" ref="L116" si="576">D116*F116</f>
        <v>3.5833999999999997</v>
      </c>
      <c r="M116" s="424">
        <f t="shared" ref="M116" si="577">D116+L116</f>
        <v>12.323399999999999</v>
      </c>
      <c r="N116" s="9">
        <f t="shared" ref="N116" si="578">M116*0.21</f>
        <v>2.5879139999999996</v>
      </c>
      <c r="O116" s="425">
        <f t="shared" ref="O116" si="579">M116+N116</f>
        <v>14.911313999999999</v>
      </c>
    </row>
    <row r="117" spans="1:15" x14ac:dyDescent="0.3">
      <c r="A117" s="418" t="s">
        <v>1524</v>
      </c>
      <c r="B117" s="419" t="s">
        <v>1123</v>
      </c>
      <c r="C117" s="420" t="s">
        <v>1655</v>
      </c>
      <c r="D117" s="421">
        <v>6.25</v>
      </c>
      <c r="E117" s="422">
        <v>0.32</v>
      </c>
      <c r="F117" s="423">
        <v>0.44</v>
      </c>
      <c r="G117" s="2">
        <f t="shared" si="528"/>
        <v>2</v>
      </c>
      <c r="H117" s="424">
        <f t="shared" si="529"/>
        <v>8.25</v>
      </c>
      <c r="I117" s="9">
        <f t="shared" si="530"/>
        <v>1.7324999999999999</v>
      </c>
      <c r="J117" s="425">
        <f t="shared" si="531"/>
        <v>9.9824999999999999</v>
      </c>
      <c r="L117" s="153">
        <f t="shared" ref="L117" si="580">D117*F117</f>
        <v>2.75</v>
      </c>
      <c r="M117" s="424">
        <f t="shared" ref="M117" si="581">D117+L117</f>
        <v>9</v>
      </c>
      <c r="N117" s="9">
        <f t="shared" ref="N117" si="582">M117*0.21</f>
        <v>1.89</v>
      </c>
      <c r="O117" s="425">
        <f t="shared" ref="O117" si="583">M117+N117</f>
        <v>10.89</v>
      </c>
    </row>
    <row r="118" spans="1:15" x14ac:dyDescent="0.3">
      <c r="A118" s="418" t="s">
        <v>1525</v>
      </c>
      <c r="B118" s="419" t="s">
        <v>1124</v>
      </c>
      <c r="C118" s="420" t="s">
        <v>1655</v>
      </c>
      <c r="D118" s="421">
        <v>13.69</v>
      </c>
      <c r="E118" s="422">
        <v>0.34</v>
      </c>
      <c r="F118" s="423">
        <v>0.47</v>
      </c>
      <c r="G118" s="2">
        <f t="shared" si="528"/>
        <v>4.6546000000000003</v>
      </c>
      <c r="H118" s="424">
        <f t="shared" si="529"/>
        <v>18.3446</v>
      </c>
      <c r="I118" s="9">
        <f t="shared" si="530"/>
        <v>3.852366</v>
      </c>
      <c r="J118" s="425">
        <f t="shared" si="531"/>
        <v>22.196966</v>
      </c>
      <c r="L118" s="153">
        <f t="shared" ref="L118" si="584">D118*F118</f>
        <v>6.4342999999999995</v>
      </c>
      <c r="M118" s="424">
        <f t="shared" ref="M118" si="585">D118+L118</f>
        <v>20.124299999999998</v>
      </c>
      <c r="N118" s="9">
        <f t="shared" ref="N118" si="586">M118*0.21</f>
        <v>4.2261029999999993</v>
      </c>
      <c r="O118" s="425">
        <f t="shared" ref="O118" si="587">M118+N118</f>
        <v>24.350402999999996</v>
      </c>
    </row>
    <row r="119" spans="1:15" x14ac:dyDescent="0.3">
      <c r="A119" s="418" t="s">
        <v>1526</v>
      </c>
      <c r="B119" s="419" t="s">
        <v>1125</v>
      </c>
      <c r="C119" s="420" t="s">
        <v>1655</v>
      </c>
      <c r="D119" s="421">
        <v>4.45</v>
      </c>
      <c r="E119" s="422">
        <v>0.36</v>
      </c>
      <c r="F119" s="423">
        <v>0.5</v>
      </c>
      <c r="G119" s="2">
        <f t="shared" si="528"/>
        <v>1.6020000000000001</v>
      </c>
      <c r="H119" s="424">
        <f t="shared" si="529"/>
        <v>6.0520000000000005</v>
      </c>
      <c r="I119" s="9">
        <f t="shared" si="530"/>
        <v>1.27092</v>
      </c>
      <c r="J119" s="425">
        <f t="shared" si="531"/>
        <v>7.3229200000000008</v>
      </c>
      <c r="L119" s="153">
        <f t="shared" ref="L119" si="588">D119*F119</f>
        <v>2.2250000000000001</v>
      </c>
      <c r="M119" s="424">
        <f t="shared" ref="M119" si="589">D119+L119</f>
        <v>6.6750000000000007</v>
      </c>
      <c r="N119" s="9">
        <f t="shared" ref="N119" si="590">M119*0.21</f>
        <v>1.4017500000000001</v>
      </c>
      <c r="O119" s="425">
        <f t="shared" ref="O119" si="591">M119+N119</f>
        <v>8.0767500000000005</v>
      </c>
    </row>
    <row r="120" spans="1:15" x14ac:dyDescent="0.3">
      <c r="A120" s="418" t="s">
        <v>1527</v>
      </c>
      <c r="B120" s="419" t="s">
        <v>1126</v>
      </c>
      <c r="C120" s="420" t="s">
        <v>1655</v>
      </c>
      <c r="D120" s="421">
        <v>1.03</v>
      </c>
      <c r="E120" s="422">
        <v>0.38</v>
      </c>
      <c r="F120" s="423">
        <v>0.53</v>
      </c>
      <c r="G120" s="2">
        <f t="shared" si="528"/>
        <v>0.39140000000000003</v>
      </c>
      <c r="H120" s="424">
        <f t="shared" si="529"/>
        <v>1.4214</v>
      </c>
      <c r="I120" s="9">
        <f t="shared" si="530"/>
        <v>0.29849399999999998</v>
      </c>
      <c r="J120" s="425">
        <f t="shared" si="531"/>
        <v>1.719894</v>
      </c>
      <c r="L120" s="153">
        <f t="shared" ref="L120" si="592">D120*F120</f>
        <v>0.54590000000000005</v>
      </c>
      <c r="M120" s="424">
        <f t="shared" ref="M120" si="593">D120+L120</f>
        <v>1.5759000000000001</v>
      </c>
      <c r="N120" s="9">
        <f t="shared" ref="N120" si="594">M120*0.21</f>
        <v>0.33093899999999998</v>
      </c>
      <c r="O120" s="425">
        <f t="shared" ref="O120" si="595">M120+N120</f>
        <v>1.9068390000000002</v>
      </c>
    </row>
    <row r="121" spans="1:15" x14ac:dyDescent="0.3">
      <c r="A121" s="418" t="s">
        <v>1528</v>
      </c>
      <c r="B121" s="419" t="s">
        <v>1127</v>
      </c>
      <c r="C121" s="420" t="s">
        <v>1655</v>
      </c>
      <c r="D121" s="421">
        <v>2.87</v>
      </c>
      <c r="E121" s="422">
        <v>0.4</v>
      </c>
      <c r="F121" s="423">
        <v>0.56000000000000005</v>
      </c>
      <c r="G121" s="2">
        <f t="shared" si="528"/>
        <v>1.1480000000000001</v>
      </c>
      <c r="H121" s="424">
        <f t="shared" si="529"/>
        <v>4.0180000000000007</v>
      </c>
      <c r="I121" s="9">
        <f t="shared" si="530"/>
        <v>0.84378000000000009</v>
      </c>
      <c r="J121" s="425">
        <f t="shared" si="531"/>
        <v>4.8617800000000004</v>
      </c>
      <c r="L121" s="153">
        <f t="shared" ref="L121" si="596">D121*F121</f>
        <v>1.6072000000000002</v>
      </c>
      <c r="M121" s="424">
        <f t="shared" ref="M121" si="597">D121+L121</f>
        <v>4.4771999999999998</v>
      </c>
      <c r="N121" s="9">
        <f t="shared" ref="N121" si="598">M121*0.21</f>
        <v>0.94021199999999994</v>
      </c>
      <c r="O121" s="425">
        <f t="shared" ref="O121" si="599">M121+N121</f>
        <v>5.4174119999999997</v>
      </c>
    </row>
    <row r="122" spans="1:15" x14ac:dyDescent="0.3">
      <c r="A122" s="418" t="s">
        <v>1529</v>
      </c>
      <c r="B122" s="419" t="s">
        <v>1426</v>
      </c>
      <c r="C122" s="420" t="s">
        <v>1655</v>
      </c>
      <c r="D122" s="421">
        <v>8.2100000000000009</v>
      </c>
      <c r="E122" s="422">
        <v>0.42</v>
      </c>
      <c r="F122" s="423">
        <v>0.59</v>
      </c>
      <c r="G122" s="2">
        <f t="shared" ref="G122" si="600">D122*E122</f>
        <v>3.4482000000000004</v>
      </c>
      <c r="H122" s="424">
        <f t="shared" ref="H122" si="601">G122+D122</f>
        <v>11.658200000000001</v>
      </c>
      <c r="I122" s="9">
        <f t="shared" ref="I122" si="602">H122*0.21</f>
        <v>2.4482219999999999</v>
      </c>
      <c r="J122" s="425">
        <f t="shared" ref="J122" si="603">H122+I122</f>
        <v>14.106422</v>
      </c>
      <c r="L122" s="153">
        <f t="shared" ref="L122" si="604">D122*F122</f>
        <v>4.8439000000000005</v>
      </c>
      <c r="M122" s="424">
        <f t="shared" ref="M122" si="605">D122+L122</f>
        <v>13.053900000000002</v>
      </c>
      <c r="N122" s="9">
        <f t="shared" ref="N122" si="606">M122*0.21</f>
        <v>2.7413190000000003</v>
      </c>
      <c r="O122" s="425">
        <f t="shared" ref="O122" si="607">M122+N122</f>
        <v>15.795219000000003</v>
      </c>
    </row>
    <row r="123" spans="1:15" x14ac:dyDescent="0.3">
      <c r="A123" s="418" t="s">
        <v>1530</v>
      </c>
      <c r="B123" s="419" t="s">
        <v>1427</v>
      </c>
      <c r="C123" s="420" t="s">
        <v>1655</v>
      </c>
      <c r="D123" s="421">
        <v>9.7200000000000006</v>
      </c>
      <c r="E123" s="422">
        <v>0.44</v>
      </c>
      <c r="F123" s="423">
        <v>0.62</v>
      </c>
      <c r="G123" s="2">
        <f t="shared" ref="G123" si="608">D123*E123</f>
        <v>4.2768000000000006</v>
      </c>
      <c r="H123" s="424">
        <f t="shared" ref="H123" si="609">G123+D123</f>
        <v>13.9968</v>
      </c>
      <c r="I123" s="9">
        <f t="shared" ref="I123" si="610">H123*0.21</f>
        <v>2.9393280000000002</v>
      </c>
      <c r="J123" s="425">
        <f t="shared" ref="J123" si="611">H123+I123</f>
        <v>16.936128</v>
      </c>
      <c r="L123" s="153">
        <f t="shared" ref="L123" si="612">D123*F123</f>
        <v>6.0264000000000006</v>
      </c>
      <c r="M123" s="424">
        <f t="shared" ref="M123" si="613">D123+L123</f>
        <v>15.746400000000001</v>
      </c>
      <c r="N123" s="9">
        <f t="shared" ref="N123" si="614">M123*0.21</f>
        <v>3.3067440000000001</v>
      </c>
      <c r="O123" s="425">
        <f t="shared" ref="O123" si="615">M123+N123</f>
        <v>19.053144000000003</v>
      </c>
    </row>
    <row r="124" spans="1:15" x14ac:dyDescent="0.3">
      <c r="A124" s="418" t="s">
        <v>1531</v>
      </c>
      <c r="B124" s="419" t="s">
        <v>1428</v>
      </c>
      <c r="C124" s="420" t="s">
        <v>1655</v>
      </c>
      <c r="D124" s="421">
        <v>17.239999999999998</v>
      </c>
      <c r="E124" s="422">
        <v>0.46</v>
      </c>
      <c r="F124" s="423">
        <v>0.65</v>
      </c>
      <c r="G124" s="2">
        <f t="shared" ref="G124" si="616">D124*E124</f>
        <v>7.9303999999999997</v>
      </c>
      <c r="H124" s="424">
        <f t="shared" ref="H124" si="617">G124+D124</f>
        <v>25.170399999999997</v>
      </c>
      <c r="I124" s="9">
        <f t="shared" ref="I124" si="618">H124*0.21</f>
        <v>5.2857839999999996</v>
      </c>
      <c r="J124" s="425">
        <f t="shared" ref="J124" si="619">H124+I124</f>
        <v>30.456183999999997</v>
      </c>
      <c r="L124" s="153">
        <f t="shared" ref="L124" si="620">D124*F124</f>
        <v>11.206</v>
      </c>
      <c r="M124" s="424">
        <f t="shared" ref="M124" si="621">D124+L124</f>
        <v>28.445999999999998</v>
      </c>
      <c r="N124" s="9">
        <f t="shared" ref="N124" si="622">M124*0.21</f>
        <v>5.9736599999999997</v>
      </c>
      <c r="O124" s="425">
        <f t="shared" ref="O124" si="623">M124+N124</f>
        <v>34.41966</v>
      </c>
    </row>
    <row r="125" spans="1:15" x14ac:dyDescent="0.3">
      <c r="A125" s="418" t="s">
        <v>1532</v>
      </c>
      <c r="B125" s="419" t="s">
        <v>1486</v>
      </c>
      <c r="C125" s="420" t="s">
        <v>1655</v>
      </c>
      <c r="D125" s="421">
        <v>3.54</v>
      </c>
      <c r="E125" s="422">
        <v>0.48</v>
      </c>
      <c r="F125" s="423">
        <v>0.68</v>
      </c>
      <c r="G125" s="2">
        <f t="shared" ref="G125" si="624">D125*E125</f>
        <v>1.6992</v>
      </c>
      <c r="H125" s="424">
        <f t="shared" ref="H125" si="625">G125+D125</f>
        <v>5.2392000000000003</v>
      </c>
      <c r="I125" s="9">
        <f t="shared" ref="I125" si="626">H125*0.21</f>
        <v>1.1002320000000001</v>
      </c>
      <c r="J125" s="425">
        <f t="shared" ref="J125" si="627">H125+I125</f>
        <v>6.3394320000000004</v>
      </c>
      <c r="L125" s="153">
        <f t="shared" ref="L125" si="628">D125*F125</f>
        <v>2.4072</v>
      </c>
      <c r="M125" s="424">
        <f t="shared" ref="M125" si="629">D125+L125</f>
        <v>5.9472000000000005</v>
      </c>
      <c r="N125" s="9">
        <f t="shared" ref="N125" si="630">M125*0.21</f>
        <v>1.248912</v>
      </c>
      <c r="O125" s="425">
        <f t="shared" ref="O125" si="631">M125+N125</f>
        <v>7.1961120000000003</v>
      </c>
    </row>
    <row r="126" spans="1:15" x14ac:dyDescent="0.3">
      <c r="A126" s="418" t="s">
        <v>1533</v>
      </c>
      <c r="B126" s="419" t="s">
        <v>1432</v>
      </c>
      <c r="C126" s="420" t="s">
        <v>1655</v>
      </c>
      <c r="D126" s="421">
        <v>3.34</v>
      </c>
      <c r="E126" s="422">
        <v>0.5</v>
      </c>
      <c r="F126" s="423">
        <v>0.71</v>
      </c>
      <c r="G126" s="2">
        <f t="shared" ref="G126" si="632">D126*E126</f>
        <v>1.67</v>
      </c>
      <c r="H126" s="424">
        <f t="shared" ref="H126" si="633">G126+D126</f>
        <v>5.01</v>
      </c>
      <c r="I126" s="9">
        <f t="shared" ref="I126" si="634">H126*0.21</f>
        <v>1.0520999999999998</v>
      </c>
      <c r="J126" s="425">
        <f t="shared" ref="J126" si="635">H126+I126</f>
        <v>6.0620999999999992</v>
      </c>
      <c r="L126" s="153">
        <f t="shared" ref="L126" si="636">D126*F126</f>
        <v>2.3714</v>
      </c>
      <c r="M126" s="424">
        <f t="shared" ref="M126" si="637">D126+L126</f>
        <v>5.7113999999999994</v>
      </c>
      <c r="N126" s="9">
        <f t="shared" ref="N126" si="638">M126*0.21</f>
        <v>1.1993939999999998</v>
      </c>
      <c r="O126" s="425">
        <f t="shared" ref="O126" si="639">M126+N126</f>
        <v>6.9107939999999992</v>
      </c>
    </row>
    <row r="127" spans="1:15" x14ac:dyDescent="0.3">
      <c r="A127" s="418" t="s">
        <v>1534</v>
      </c>
      <c r="B127" s="419" t="s">
        <v>1433</v>
      </c>
      <c r="C127" s="420" t="s">
        <v>1655</v>
      </c>
      <c r="D127" s="421">
        <v>1.64</v>
      </c>
      <c r="E127" s="422">
        <v>0.52</v>
      </c>
      <c r="F127" s="423">
        <v>0.74</v>
      </c>
      <c r="G127" s="2">
        <f t="shared" ref="G127" si="640">D127*E127</f>
        <v>0.8528</v>
      </c>
      <c r="H127" s="424">
        <f t="shared" ref="H127" si="641">G127+D127</f>
        <v>2.4927999999999999</v>
      </c>
      <c r="I127" s="9">
        <f t="shared" ref="I127" si="642">H127*0.21</f>
        <v>0.52348799999999995</v>
      </c>
      <c r="J127" s="425">
        <f t="shared" ref="J127" si="643">H127+I127</f>
        <v>3.0162879999999999</v>
      </c>
      <c r="L127" s="153">
        <f t="shared" ref="L127" si="644">D127*F127</f>
        <v>1.2136</v>
      </c>
      <c r="M127" s="424">
        <f t="shared" ref="M127" si="645">D127+L127</f>
        <v>2.8536000000000001</v>
      </c>
      <c r="N127" s="9">
        <f t="shared" ref="N127" si="646">M127*0.21</f>
        <v>0.59925600000000001</v>
      </c>
      <c r="O127" s="425">
        <f t="shared" ref="O127" si="647">M127+N127</f>
        <v>3.4528560000000001</v>
      </c>
    </row>
    <row r="128" spans="1:15" x14ac:dyDescent="0.3">
      <c r="A128" s="418" t="s">
        <v>1535</v>
      </c>
      <c r="B128" s="419" t="s">
        <v>1434</v>
      </c>
      <c r="C128" s="420" t="s">
        <v>1655</v>
      </c>
      <c r="D128" s="421">
        <v>0.94</v>
      </c>
      <c r="E128" s="422">
        <v>0.54</v>
      </c>
      <c r="F128" s="423">
        <v>0.77</v>
      </c>
      <c r="G128" s="2">
        <f t="shared" ref="G128" si="648">D128*E128</f>
        <v>0.50760000000000005</v>
      </c>
      <c r="H128" s="424">
        <f t="shared" ref="H128" si="649">G128+D128</f>
        <v>1.4476</v>
      </c>
      <c r="I128" s="9">
        <f t="shared" ref="I128" si="650">H128*0.21</f>
        <v>0.30399599999999999</v>
      </c>
      <c r="J128" s="425">
        <f t="shared" ref="J128" si="651">H128+I128</f>
        <v>1.7515959999999999</v>
      </c>
      <c r="L128" s="153">
        <f t="shared" ref="L128" si="652">D128*F128</f>
        <v>0.7238</v>
      </c>
      <c r="M128" s="424">
        <f t="shared" ref="M128" si="653">D128+L128</f>
        <v>1.6637999999999999</v>
      </c>
      <c r="N128" s="9">
        <f t="shared" ref="N128" si="654">M128*0.21</f>
        <v>0.34939799999999999</v>
      </c>
      <c r="O128" s="425">
        <f t="shared" ref="O128" si="655">M128+N128</f>
        <v>2.013198</v>
      </c>
    </row>
    <row r="129" spans="1:15" x14ac:dyDescent="0.3">
      <c r="A129" s="418" t="s">
        <v>1536</v>
      </c>
      <c r="B129" s="419" t="s">
        <v>1435</v>
      </c>
      <c r="C129" s="420" t="s">
        <v>1655</v>
      </c>
      <c r="D129" s="421">
        <v>6.54</v>
      </c>
      <c r="E129" s="422">
        <v>0.56000000000000005</v>
      </c>
      <c r="F129" s="423">
        <v>0.8</v>
      </c>
      <c r="G129" s="2">
        <f t="shared" ref="G129" si="656">D129*E129</f>
        <v>3.6624000000000003</v>
      </c>
      <c r="H129" s="424">
        <f t="shared" ref="H129" si="657">G129+D129</f>
        <v>10.202400000000001</v>
      </c>
      <c r="I129" s="9">
        <f t="shared" ref="I129" si="658">H129*0.21</f>
        <v>2.1425040000000002</v>
      </c>
      <c r="J129" s="425">
        <f t="shared" ref="J129" si="659">H129+I129</f>
        <v>12.344904000000001</v>
      </c>
      <c r="L129" s="153">
        <f t="shared" ref="L129" si="660">D129*F129</f>
        <v>5.2320000000000002</v>
      </c>
      <c r="M129" s="424">
        <f t="shared" ref="M129" si="661">D129+L129</f>
        <v>11.772</v>
      </c>
      <c r="N129" s="9">
        <f t="shared" ref="N129" si="662">M129*0.21</f>
        <v>2.4721199999999999</v>
      </c>
      <c r="O129" s="425">
        <f t="shared" ref="O129" si="663">M129+N129</f>
        <v>14.244120000000001</v>
      </c>
    </row>
    <row r="130" spans="1:15" x14ac:dyDescent="0.3">
      <c r="A130" s="418" t="s">
        <v>1537</v>
      </c>
      <c r="B130" s="419" t="s">
        <v>1436</v>
      </c>
      <c r="C130" s="420" t="s">
        <v>1655</v>
      </c>
      <c r="D130" s="421">
        <v>2.84</v>
      </c>
      <c r="E130" s="422">
        <v>0.57999999999999996</v>
      </c>
      <c r="F130" s="423">
        <v>0.83</v>
      </c>
      <c r="G130" s="2">
        <f t="shared" ref="G130" si="664">D130*E130</f>
        <v>1.6471999999999998</v>
      </c>
      <c r="H130" s="424">
        <f t="shared" ref="H130" si="665">G130+D130</f>
        <v>4.4871999999999996</v>
      </c>
      <c r="I130" s="9">
        <f t="shared" ref="I130" si="666">H130*0.21</f>
        <v>0.94231199999999993</v>
      </c>
      <c r="J130" s="425">
        <f t="shared" ref="J130" si="667">H130+I130</f>
        <v>5.4295119999999999</v>
      </c>
      <c r="L130" s="153">
        <f t="shared" ref="L130" si="668">D130*F130</f>
        <v>2.3571999999999997</v>
      </c>
      <c r="M130" s="424">
        <f t="shared" ref="M130" si="669">D130+L130</f>
        <v>5.1971999999999996</v>
      </c>
      <c r="N130" s="9">
        <f t="shared" ref="N130" si="670">M130*0.21</f>
        <v>1.0914119999999998</v>
      </c>
      <c r="O130" s="425">
        <f t="shared" ref="O130" si="671">M130+N130</f>
        <v>6.2886119999999996</v>
      </c>
    </row>
    <row r="131" spans="1:15" x14ac:dyDescent="0.3">
      <c r="A131" s="418" t="s">
        <v>1538</v>
      </c>
      <c r="B131" s="419" t="s">
        <v>1437</v>
      </c>
      <c r="C131" s="420" t="s">
        <v>1655</v>
      </c>
      <c r="D131" s="421">
        <v>2.66</v>
      </c>
      <c r="E131" s="422">
        <v>0.6</v>
      </c>
      <c r="F131" s="423">
        <v>0.86</v>
      </c>
      <c r="G131" s="2">
        <f t="shared" ref="G131" si="672">D131*E131</f>
        <v>1.5960000000000001</v>
      </c>
      <c r="H131" s="424">
        <f t="shared" ref="H131" si="673">G131+D131</f>
        <v>4.2560000000000002</v>
      </c>
      <c r="I131" s="9">
        <f t="shared" ref="I131" si="674">H131*0.21</f>
        <v>0.89376</v>
      </c>
      <c r="J131" s="425">
        <f t="shared" ref="J131" si="675">H131+I131</f>
        <v>5.1497600000000006</v>
      </c>
      <c r="L131" s="153">
        <f t="shared" ref="L131" si="676">D131*F131</f>
        <v>2.2876000000000003</v>
      </c>
      <c r="M131" s="424">
        <f t="shared" ref="M131" si="677">D131+L131</f>
        <v>4.9476000000000004</v>
      </c>
      <c r="N131" s="9">
        <f t="shared" ref="N131" si="678">M131*0.21</f>
        <v>1.038996</v>
      </c>
      <c r="O131" s="425">
        <f t="shared" ref="O131" si="679">M131+N131</f>
        <v>5.9865960000000005</v>
      </c>
    </row>
    <row r="132" spans="1:15" x14ac:dyDescent="0.3">
      <c r="A132" s="418" t="s">
        <v>1539</v>
      </c>
      <c r="B132" s="419" t="s">
        <v>1438</v>
      </c>
      <c r="C132" s="420" t="s">
        <v>1655</v>
      </c>
      <c r="D132" s="421">
        <v>1.1399999999999999</v>
      </c>
      <c r="E132" s="422">
        <v>0.62</v>
      </c>
      <c r="F132" s="423">
        <v>0.89</v>
      </c>
      <c r="G132" s="2">
        <f t="shared" ref="G132" si="680">D132*E132</f>
        <v>0.70679999999999998</v>
      </c>
      <c r="H132" s="424">
        <f t="shared" ref="H132" si="681">G132+D132</f>
        <v>1.8468</v>
      </c>
      <c r="I132" s="9">
        <f t="shared" ref="I132" si="682">H132*0.21</f>
        <v>0.38782800000000001</v>
      </c>
      <c r="J132" s="425">
        <f t="shared" ref="J132" si="683">H132+I132</f>
        <v>2.2346279999999998</v>
      </c>
      <c r="L132" s="153">
        <f t="shared" ref="L132" si="684">D132*F132</f>
        <v>1.0145999999999999</v>
      </c>
      <c r="M132" s="424">
        <f t="shared" ref="M132" si="685">D132+L132</f>
        <v>2.1545999999999998</v>
      </c>
      <c r="N132" s="9">
        <f t="shared" ref="N132" si="686">M132*0.21</f>
        <v>0.45246599999999992</v>
      </c>
      <c r="O132" s="425">
        <f t="shared" ref="O132" si="687">M132+N132</f>
        <v>2.6070659999999997</v>
      </c>
    </row>
    <row r="133" spans="1:15" x14ac:dyDescent="0.3">
      <c r="A133" s="418" t="s">
        <v>1540</v>
      </c>
      <c r="B133" s="419" t="s">
        <v>1439</v>
      </c>
      <c r="C133" s="420" t="s">
        <v>1655</v>
      </c>
      <c r="D133" s="421">
        <v>0.64</v>
      </c>
      <c r="E133" s="422">
        <v>0.64</v>
      </c>
      <c r="F133" s="423">
        <v>0.92</v>
      </c>
      <c r="G133" s="2">
        <f t="shared" ref="G133" si="688">D133*E133</f>
        <v>0.40960000000000002</v>
      </c>
      <c r="H133" s="424">
        <f t="shared" ref="H133" si="689">G133+D133</f>
        <v>1.0496000000000001</v>
      </c>
      <c r="I133" s="9">
        <f t="shared" ref="I133" si="690">H133*0.21</f>
        <v>0.220416</v>
      </c>
      <c r="J133" s="425">
        <f t="shared" ref="J133" si="691">H133+I133</f>
        <v>1.270016</v>
      </c>
      <c r="L133" s="153">
        <f t="shared" ref="L133" si="692">D133*F133</f>
        <v>0.58879999999999999</v>
      </c>
      <c r="M133" s="424">
        <f t="shared" ref="M133" si="693">D133+L133</f>
        <v>1.2288000000000001</v>
      </c>
      <c r="N133" s="9">
        <f t="shared" ref="N133" si="694">M133*0.21</f>
        <v>0.258048</v>
      </c>
      <c r="O133" s="425">
        <f t="shared" ref="O133" si="695">M133+N133</f>
        <v>1.4868480000000002</v>
      </c>
    </row>
    <row r="134" spans="1:15" x14ac:dyDescent="0.3">
      <c r="A134" s="418" t="s">
        <v>1541</v>
      </c>
      <c r="B134" s="419" t="s">
        <v>1440</v>
      </c>
      <c r="C134" s="420" t="s">
        <v>1655</v>
      </c>
      <c r="D134" s="421">
        <v>0.57999999999999996</v>
      </c>
      <c r="E134" s="422">
        <v>0.66</v>
      </c>
      <c r="F134" s="423">
        <v>0.95</v>
      </c>
      <c r="G134" s="2">
        <f t="shared" ref="G134" si="696">D134*E134</f>
        <v>0.38279999999999997</v>
      </c>
      <c r="H134" s="424">
        <f t="shared" ref="H134" si="697">G134+D134</f>
        <v>0.96279999999999988</v>
      </c>
      <c r="I134" s="9">
        <f t="shared" ref="I134" si="698">H134*0.21</f>
        <v>0.20218799999999998</v>
      </c>
      <c r="J134" s="425">
        <f t="shared" ref="J134" si="699">H134+I134</f>
        <v>1.1649879999999999</v>
      </c>
      <c r="L134" s="153">
        <f t="shared" ref="L134" si="700">D134*F134</f>
        <v>0.55099999999999993</v>
      </c>
      <c r="M134" s="424">
        <f t="shared" ref="M134" si="701">D134+L134</f>
        <v>1.1309999999999998</v>
      </c>
      <c r="N134" s="9">
        <f t="shared" ref="N134" si="702">M134*0.21</f>
        <v>0.23750999999999994</v>
      </c>
      <c r="O134" s="425">
        <f t="shared" ref="O134" si="703">M134+N134</f>
        <v>1.3685099999999997</v>
      </c>
    </row>
    <row r="135" spans="1:15" x14ac:dyDescent="0.3">
      <c r="A135" s="418" t="s">
        <v>1542</v>
      </c>
      <c r="B135" s="419" t="s">
        <v>1441</v>
      </c>
      <c r="C135" s="420" t="s">
        <v>1655</v>
      </c>
      <c r="D135" s="421">
        <v>0.83</v>
      </c>
      <c r="E135" s="422">
        <v>0.68</v>
      </c>
      <c r="F135" s="423">
        <v>0.98</v>
      </c>
      <c r="G135" s="2">
        <f t="shared" ref="G135" si="704">D135*E135</f>
        <v>0.56440000000000001</v>
      </c>
      <c r="H135" s="424">
        <f t="shared" ref="H135" si="705">G135+D135</f>
        <v>1.3944000000000001</v>
      </c>
      <c r="I135" s="9">
        <f t="shared" ref="I135" si="706">H135*0.21</f>
        <v>0.29282400000000003</v>
      </c>
      <c r="J135" s="425">
        <f t="shared" ref="J135" si="707">H135+I135</f>
        <v>1.6872240000000001</v>
      </c>
      <c r="L135" s="153">
        <f t="shared" ref="L135" si="708">D135*F135</f>
        <v>0.8133999999999999</v>
      </c>
      <c r="M135" s="424">
        <f t="shared" ref="M135" si="709">D135+L135</f>
        <v>1.6433999999999997</v>
      </c>
      <c r="N135" s="9">
        <f t="shared" ref="N135" si="710">M135*0.21</f>
        <v>0.34511399999999992</v>
      </c>
      <c r="O135" s="425">
        <f t="shared" ref="O135" si="711">M135+N135</f>
        <v>1.9885139999999997</v>
      </c>
    </row>
    <row r="136" spans="1:15" x14ac:dyDescent="0.3">
      <c r="A136" s="418" t="s">
        <v>1543</v>
      </c>
      <c r="B136" s="481" t="s">
        <v>1442</v>
      </c>
      <c r="C136" s="420" t="s">
        <v>1655</v>
      </c>
      <c r="D136" s="421">
        <v>0.71</v>
      </c>
      <c r="E136" s="422">
        <v>0.7</v>
      </c>
      <c r="F136" s="423">
        <v>1.01</v>
      </c>
      <c r="G136" s="2">
        <f t="shared" ref="G136" si="712">D136*E136</f>
        <v>0.49699999999999994</v>
      </c>
      <c r="H136" s="424">
        <f t="shared" ref="H136" si="713">G136+D136</f>
        <v>1.2069999999999999</v>
      </c>
      <c r="I136" s="9">
        <f t="shared" ref="I136" si="714">H136*0.21</f>
        <v>0.25346999999999997</v>
      </c>
      <c r="J136" s="425">
        <f t="shared" ref="J136" si="715">H136+I136</f>
        <v>1.4604699999999999</v>
      </c>
      <c r="L136" s="153">
        <f t="shared" ref="L136" si="716">D136*F136</f>
        <v>0.71709999999999996</v>
      </c>
      <c r="M136" s="424">
        <f t="shared" ref="M136" si="717">D136+L136</f>
        <v>1.4270999999999998</v>
      </c>
      <c r="N136" s="9">
        <f t="shared" ref="N136" si="718">M136*0.21</f>
        <v>0.29969099999999993</v>
      </c>
      <c r="O136" s="425">
        <f t="shared" ref="O136" si="719">M136+N136</f>
        <v>1.7267909999999997</v>
      </c>
    </row>
    <row r="137" spans="1:15" x14ac:dyDescent="0.3">
      <c r="A137" s="418" t="s">
        <v>1544</v>
      </c>
      <c r="B137" s="481" t="s">
        <v>1490</v>
      </c>
      <c r="C137" s="420" t="s">
        <v>1655</v>
      </c>
      <c r="D137" s="421">
        <v>1.2</v>
      </c>
      <c r="E137" s="422">
        <v>0.72</v>
      </c>
      <c r="F137" s="423">
        <v>1.04</v>
      </c>
      <c r="G137" s="2">
        <f t="shared" ref="G137" si="720">D137*E137</f>
        <v>0.86399999999999999</v>
      </c>
      <c r="H137" s="424">
        <f t="shared" ref="H137" si="721">G137+D137</f>
        <v>2.0640000000000001</v>
      </c>
      <c r="I137" s="9">
        <f t="shared" ref="I137" si="722">H137*0.21</f>
        <v>0.43343999999999999</v>
      </c>
      <c r="J137" s="425">
        <f t="shared" ref="J137" si="723">H137+I137</f>
        <v>2.4974400000000001</v>
      </c>
      <c r="L137" s="153">
        <f t="shared" ref="L137" si="724">D137*F137</f>
        <v>1.248</v>
      </c>
      <c r="M137" s="424">
        <f t="shared" ref="M137" si="725">D137+L137</f>
        <v>2.448</v>
      </c>
      <c r="N137" s="9">
        <f t="shared" ref="N137" si="726">M137*0.21</f>
        <v>0.51407999999999998</v>
      </c>
      <c r="O137" s="425">
        <f t="shared" ref="O137" si="727">M137+N137</f>
        <v>2.9620799999999998</v>
      </c>
    </row>
    <row r="138" spans="1:15" x14ac:dyDescent="0.3">
      <c r="A138" s="418" t="s">
        <v>1545</v>
      </c>
      <c r="B138" s="481" t="s">
        <v>1491</v>
      </c>
      <c r="C138" s="420" t="s">
        <v>1655</v>
      </c>
      <c r="D138" s="421">
        <v>0.91</v>
      </c>
      <c r="E138" s="422">
        <v>0.74</v>
      </c>
      <c r="F138" s="423">
        <v>1.07</v>
      </c>
      <c r="G138" s="2">
        <f t="shared" ref="G138" si="728">D138*E138</f>
        <v>0.6734</v>
      </c>
      <c r="H138" s="424">
        <f t="shared" ref="H138" si="729">G138+D138</f>
        <v>1.5834000000000001</v>
      </c>
      <c r="I138" s="9">
        <f t="shared" ref="I138" si="730">H138*0.21</f>
        <v>0.33251400000000003</v>
      </c>
      <c r="J138" s="425">
        <f t="shared" ref="J138" si="731">H138+I138</f>
        <v>1.9159140000000001</v>
      </c>
      <c r="L138" s="153">
        <f t="shared" ref="L138" si="732">D138*F138</f>
        <v>0.97370000000000012</v>
      </c>
      <c r="M138" s="424">
        <f t="shared" ref="M138" si="733">D138+L138</f>
        <v>1.8837000000000002</v>
      </c>
      <c r="N138" s="9">
        <f t="shared" ref="N138" si="734">M138*0.21</f>
        <v>0.39557700000000001</v>
      </c>
      <c r="O138" s="425">
        <f t="shared" ref="O138" si="735">M138+N138</f>
        <v>2.279277</v>
      </c>
    </row>
    <row r="139" spans="1:15" x14ac:dyDescent="0.3">
      <c r="A139" s="418" t="s">
        <v>1546</v>
      </c>
      <c r="B139" s="481" t="s">
        <v>1492</v>
      </c>
      <c r="C139" s="420" t="s">
        <v>1655</v>
      </c>
      <c r="D139" s="421">
        <v>1.24</v>
      </c>
      <c r="E139" s="422">
        <v>0.76</v>
      </c>
      <c r="F139" s="423">
        <v>1.1000000000000001</v>
      </c>
      <c r="G139" s="2">
        <f t="shared" ref="G139" si="736">D139*E139</f>
        <v>0.94240000000000002</v>
      </c>
      <c r="H139" s="424">
        <f t="shared" ref="H139" si="737">G139+D139</f>
        <v>2.1823999999999999</v>
      </c>
      <c r="I139" s="9">
        <f t="shared" ref="I139" si="738">H139*0.21</f>
        <v>0.45830399999999993</v>
      </c>
      <c r="J139" s="425">
        <f t="shared" ref="J139" si="739">H139+I139</f>
        <v>2.6407039999999999</v>
      </c>
      <c r="L139" s="153">
        <f t="shared" ref="L139" si="740">D139*F139</f>
        <v>1.3640000000000001</v>
      </c>
      <c r="M139" s="424">
        <f t="shared" ref="M139" si="741">D139+L139</f>
        <v>2.6040000000000001</v>
      </c>
      <c r="N139" s="9">
        <f t="shared" ref="N139" si="742">M139*0.21</f>
        <v>0.54683999999999999</v>
      </c>
      <c r="O139" s="425">
        <f t="shared" ref="O139" si="743">M139+N139</f>
        <v>3.1508400000000001</v>
      </c>
    </row>
    <row r="141" spans="1:15" x14ac:dyDescent="0.3">
      <c r="A141" s="435" t="s">
        <v>1097</v>
      </c>
      <c r="B141" s="434" t="s">
        <v>1158</v>
      </c>
      <c r="C141" s="441" t="s">
        <v>1655</v>
      </c>
      <c r="D141" s="436">
        <v>4.5</v>
      </c>
      <c r="E141" s="437">
        <v>0.1</v>
      </c>
      <c r="F141" s="438">
        <v>0.1</v>
      </c>
      <c r="G141" s="2">
        <f t="shared" ref="G141" si="744">D141*E141</f>
        <v>0.45</v>
      </c>
      <c r="H141" s="439">
        <f t="shared" ref="H141" si="745">G141+D141</f>
        <v>4.95</v>
      </c>
      <c r="I141" s="9">
        <f t="shared" ref="I141" si="746">H141*0.21</f>
        <v>1.0395000000000001</v>
      </c>
      <c r="J141" s="440">
        <f t="shared" ref="J141" si="747">H141+I141</f>
        <v>5.9895000000000005</v>
      </c>
      <c r="L141" s="153">
        <f t="shared" ref="L141" si="748">D141*F141</f>
        <v>0.45</v>
      </c>
      <c r="M141" s="439">
        <f t="shared" ref="M141" si="749">D141+L141</f>
        <v>4.95</v>
      </c>
      <c r="N141" s="9">
        <f t="shared" ref="N141" si="750">M141*0.21</f>
        <v>1.0395000000000001</v>
      </c>
      <c r="O141" s="440">
        <f t="shared" ref="O141" si="751">M141+N141</f>
        <v>5.9895000000000005</v>
      </c>
    </row>
    <row r="142" spans="1:15" x14ac:dyDescent="0.3">
      <c r="A142" s="435" t="s">
        <v>1098</v>
      </c>
      <c r="B142" s="434" t="s">
        <v>1330</v>
      </c>
      <c r="C142" s="441" t="s">
        <v>1655</v>
      </c>
      <c r="D142" s="436">
        <v>5</v>
      </c>
      <c r="E142" s="437">
        <v>0.1</v>
      </c>
      <c r="F142" s="438">
        <v>0.1</v>
      </c>
      <c r="G142" s="2">
        <f t="shared" ref="G142" si="752">D142*E142</f>
        <v>0.5</v>
      </c>
      <c r="H142" s="439">
        <f t="shared" ref="H142" si="753">G142+D142</f>
        <v>5.5</v>
      </c>
      <c r="I142" s="9">
        <f t="shared" ref="I142" si="754">H142*0.21</f>
        <v>1.155</v>
      </c>
      <c r="J142" s="440">
        <f t="shared" ref="J142" si="755">H142+I142</f>
        <v>6.6550000000000002</v>
      </c>
      <c r="L142" s="153">
        <f t="shared" ref="L142" si="756">D142*F142</f>
        <v>0.5</v>
      </c>
      <c r="M142" s="439">
        <f t="shared" ref="M142" si="757">D142+L142</f>
        <v>5.5</v>
      </c>
      <c r="N142" s="9">
        <f t="shared" ref="N142" si="758">M142*0.21</f>
        <v>1.155</v>
      </c>
      <c r="O142" s="440">
        <f t="shared" ref="O142" si="759">M142+N142</f>
        <v>6.6550000000000002</v>
      </c>
    </row>
    <row r="143" spans="1:15" x14ac:dyDescent="0.3">
      <c r="A143" s="435" t="s">
        <v>1101</v>
      </c>
      <c r="B143" s="434" t="s">
        <v>1331</v>
      </c>
      <c r="C143" s="441" t="s">
        <v>1655</v>
      </c>
      <c r="D143" s="436">
        <v>5.5</v>
      </c>
      <c r="E143" s="437">
        <v>0.1</v>
      </c>
      <c r="F143" s="438">
        <v>0.1</v>
      </c>
      <c r="G143" s="2">
        <f t="shared" ref="G143" si="760">D143*E143</f>
        <v>0.55000000000000004</v>
      </c>
      <c r="H143" s="439">
        <f t="shared" ref="H143" si="761">G143+D143</f>
        <v>6.05</v>
      </c>
      <c r="I143" s="9">
        <f t="shared" ref="I143" si="762">H143*0.21</f>
        <v>1.2705</v>
      </c>
      <c r="J143" s="440">
        <f t="shared" ref="J143" si="763">H143+I143</f>
        <v>7.3205</v>
      </c>
      <c r="L143" s="153">
        <f t="shared" ref="L143" si="764">D143*F143</f>
        <v>0.55000000000000004</v>
      </c>
      <c r="M143" s="439">
        <f t="shared" ref="M143" si="765">D143+L143</f>
        <v>6.05</v>
      </c>
      <c r="N143" s="9">
        <f t="shared" ref="N143" si="766">M143*0.21</f>
        <v>1.2705</v>
      </c>
      <c r="O143" s="440">
        <f t="shared" ref="O143" si="767">M143+N143</f>
        <v>7.3205</v>
      </c>
    </row>
    <row r="144" spans="1:15" x14ac:dyDescent="0.3">
      <c r="A144" s="435" t="s">
        <v>1103</v>
      </c>
      <c r="B144" s="434" t="s">
        <v>1332</v>
      </c>
      <c r="C144" s="441" t="s">
        <v>1655</v>
      </c>
      <c r="D144" s="436">
        <v>6</v>
      </c>
      <c r="E144" s="437">
        <v>0.1</v>
      </c>
      <c r="F144" s="438">
        <v>0.1</v>
      </c>
      <c r="G144" s="2">
        <f t="shared" ref="G144" si="768">D144*E144</f>
        <v>0.60000000000000009</v>
      </c>
      <c r="H144" s="439">
        <f t="shared" ref="H144" si="769">G144+D144</f>
        <v>6.6</v>
      </c>
      <c r="I144" s="9">
        <f t="shared" ref="I144" si="770">H144*0.21</f>
        <v>1.3859999999999999</v>
      </c>
      <c r="J144" s="440">
        <f t="shared" ref="J144" si="771">H144+I144</f>
        <v>7.9859999999999998</v>
      </c>
      <c r="L144" s="153">
        <f t="shared" ref="L144" si="772">D144*F144</f>
        <v>0.60000000000000009</v>
      </c>
      <c r="M144" s="439">
        <f t="shared" ref="M144" si="773">D144+L144</f>
        <v>6.6</v>
      </c>
      <c r="N144" s="9">
        <f t="shared" ref="N144" si="774">M144*0.21</f>
        <v>1.3859999999999999</v>
      </c>
      <c r="O144" s="440">
        <f t="shared" ref="O144" si="775">M144+N144</f>
        <v>7.9859999999999998</v>
      </c>
    </row>
    <row r="145" spans="1:15" x14ac:dyDescent="0.3">
      <c r="A145" s="435" t="s">
        <v>1104</v>
      </c>
      <c r="B145" s="434" t="s">
        <v>1333</v>
      </c>
      <c r="C145" s="441" t="s">
        <v>1655</v>
      </c>
      <c r="D145" s="436">
        <v>6.5</v>
      </c>
      <c r="E145" s="437">
        <v>0.1</v>
      </c>
      <c r="F145" s="438">
        <v>0.1</v>
      </c>
      <c r="G145" s="2">
        <f t="shared" ref="G145" si="776">D145*E145</f>
        <v>0.65</v>
      </c>
      <c r="H145" s="439">
        <f t="shared" ref="H145" si="777">G145+D145</f>
        <v>7.15</v>
      </c>
      <c r="I145" s="9">
        <f t="shared" ref="I145" si="778">H145*0.21</f>
        <v>1.5015000000000001</v>
      </c>
      <c r="J145" s="440">
        <f t="shared" ref="J145" si="779">H145+I145</f>
        <v>8.6515000000000004</v>
      </c>
      <c r="L145" s="153">
        <f t="shared" ref="L145" si="780">D145*F145</f>
        <v>0.65</v>
      </c>
      <c r="M145" s="439">
        <f t="shared" ref="M145" si="781">D145+L145</f>
        <v>7.15</v>
      </c>
      <c r="N145" s="9">
        <f t="shared" ref="N145" si="782">M145*0.21</f>
        <v>1.5015000000000001</v>
      </c>
      <c r="O145" s="440">
        <f t="shared" ref="O145" si="783">M145+N145</f>
        <v>8.6515000000000004</v>
      </c>
    </row>
    <row r="146" spans="1:15" x14ac:dyDescent="0.3">
      <c r="A146" s="435" t="s">
        <v>1105</v>
      </c>
      <c r="B146" s="434" t="s">
        <v>1334</v>
      </c>
      <c r="C146" s="441" t="s">
        <v>1655</v>
      </c>
      <c r="D146" s="436">
        <v>7</v>
      </c>
      <c r="E146" s="437">
        <v>0.1</v>
      </c>
      <c r="F146" s="438">
        <v>0.1</v>
      </c>
      <c r="G146" s="2">
        <f t="shared" ref="G146" si="784">D146*E146</f>
        <v>0.70000000000000007</v>
      </c>
      <c r="H146" s="439">
        <f t="shared" ref="H146" si="785">G146+D146</f>
        <v>7.7</v>
      </c>
      <c r="I146" s="9">
        <f t="shared" ref="I146" si="786">H146*0.21</f>
        <v>1.617</v>
      </c>
      <c r="J146" s="440">
        <f t="shared" ref="J146" si="787">H146+I146</f>
        <v>9.3170000000000002</v>
      </c>
      <c r="L146" s="153">
        <f t="shared" ref="L146" si="788">D146*F146</f>
        <v>0.70000000000000007</v>
      </c>
      <c r="M146" s="439">
        <f t="shared" ref="M146" si="789">D146+L146</f>
        <v>7.7</v>
      </c>
      <c r="N146" s="9">
        <f t="shared" ref="N146" si="790">M146*0.21</f>
        <v>1.617</v>
      </c>
      <c r="O146" s="440">
        <f t="shared" ref="O146" si="791">M146+N146</f>
        <v>9.3170000000000002</v>
      </c>
    </row>
    <row r="147" spans="1:15" x14ac:dyDescent="0.3">
      <c r="A147" s="435" t="s">
        <v>1107</v>
      </c>
      <c r="B147" s="453" t="s">
        <v>1335</v>
      </c>
      <c r="C147" s="441" t="s">
        <v>1655</v>
      </c>
      <c r="D147" s="436">
        <v>7.5</v>
      </c>
      <c r="E147" s="437">
        <v>0.1</v>
      </c>
      <c r="F147" s="438">
        <v>0.1</v>
      </c>
      <c r="G147" s="2">
        <f t="shared" ref="G147" si="792">D147*E147</f>
        <v>0.75</v>
      </c>
      <c r="H147" s="439">
        <f t="shared" ref="H147" si="793">G147+D147</f>
        <v>8.25</v>
      </c>
      <c r="I147" s="9">
        <f t="shared" ref="I147" si="794">H147*0.21</f>
        <v>1.7324999999999999</v>
      </c>
      <c r="J147" s="440">
        <f t="shared" ref="J147" si="795">H147+I147</f>
        <v>9.9824999999999999</v>
      </c>
      <c r="L147" s="153">
        <f t="shared" ref="L147" si="796">D147*F147</f>
        <v>0.75</v>
      </c>
      <c r="M147" s="439">
        <f t="shared" ref="M147" si="797">D147+L147</f>
        <v>8.25</v>
      </c>
      <c r="N147" s="9">
        <f t="shared" ref="N147" si="798">M147*0.21</f>
        <v>1.7324999999999999</v>
      </c>
      <c r="O147" s="440">
        <f t="shared" ref="O147" si="799">M147+N147</f>
        <v>9.9824999999999999</v>
      </c>
    </row>
    <row r="148" spans="1:15" x14ac:dyDescent="0.3">
      <c r="A148" s="435" t="s">
        <v>1111</v>
      </c>
      <c r="B148" s="453" t="s">
        <v>1336</v>
      </c>
      <c r="C148" s="441" t="s">
        <v>1655</v>
      </c>
      <c r="D148" s="436">
        <v>8</v>
      </c>
      <c r="E148" s="437">
        <v>0.1</v>
      </c>
      <c r="F148" s="438">
        <v>0.1</v>
      </c>
      <c r="G148" s="2">
        <f t="shared" ref="G148" si="800">D148*E148</f>
        <v>0.8</v>
      </c>
      <c r="H148" s="439">
        <f t="shared" ref="H148" si="801">G148+D148</f>
        <v>8.8000000000000007</v>
      </c>
      <c r="I148" s="9">
        <f t="shared" ref="I148" si="802">H148*0.21</f>
        <v>1.8480000000000001</v>
      </c>
      <c r="J148" s="440">
        <f t="shared" ref="J148" si="803">H148+I148</f>
        <v>10.648000000000001</v>
      </c>
      <c r="L148" s="153">
        <f t="shared" ref="L148" si="804">D148*F148</f>
        <v>0.8</v>
      </c>
      <c r="M148" s="439">
        <f t="shared" ref="M148" si="805">D148+L148</f>
        <v>8.8000000000000007</v>
      </c>
      <c r="N148" s="9">
        <f t="shared" ref="N148" si="806">M148*0.21</f>
        <v>1.8480000000000001</v>
      </c>
      <c r="O148" s="440">
        <f t="shared" ref="O148" si="807">M148+N148</f>
        <v>10.648000000000001</v>
      </c>
    </row>
    <row r="149" spans="1:15" x14ac:dyDescent="0.3">
      <c r="A149" s="435" t="s">
        <v>1113</v>
      </c>
      <c r="B149" s="453" t="s">
        <v>1337</v>
      </c>
      <c r="C149" s="441" t="s">
        <v>1655</v>
      </c>
      <c r="D149" s="436">
        <v>8.5</v>
      </c>
      <c r="E149" s="437">
        <v>0.1</v>
      </c>
      <c r="F149" s="438">
        <v>0.1</v>
      </c>
      <c r="G149" s="2">
        <f t="shared" ref="G149" si="808">D149*E149</f>
        <v>0.85000000000000009</v>
      </c>
      <c r="H149" s="439">
        <f t="shared" ref="H149" si="809">G149+D149</f>
        <v>9.35</v>
      </c>
      <c r="I149" s="9">
        <f t="shared" ref="I149" si="810">H149*0.21</f>
        <v>1.9634999999999998</v>
      </c>
      <c r="J149" s="440">
        <f t="shared" ref="J149" si="811">H149+I149</f>
        <v>11.313499999999999</v>
      </c>
      <c r="L149" s="153">
        <f t="shared" ref="L149" si="812">D149*F149</f>
        <v>0.85000000000000009</v>
      </c>
      <c r="M149" s="439">
        <f t="shared" ref="M149" si="813">D149+L149</f>
        <v>9.35</v>
      </c>
      <c r="N149" s="9">
        <f t="shared" ref="N149" si="814">M149*0.21</f>
        <v>1.9634999999999998</v>
      </c>
      <c r="O149" s="440">
        <f t="shared" ref="O149" si="815">M149+N149</f>
        <v>11.313499999999999</v>
      </c>
    </row>
    <row r="150" spans="1:15" x14ac:dyDescent="0.3">
      <c r="A150" s="435" t="s">
        <v>1115</v>
      </c>
      <c r="B150" s="453" t="s">
        <v>1338</v>
      </c>
      <c r="C150" s="441" t="s">
        <v>1655</v>
      </c>
      <c r="D150" s="436">
        <v>9</v>
      </c>
      <c r="E150" s="437">
        <v>0.1</v>
      </c>
      <c r="F150" s="438">
        <v>0.1</v>
      </c>
      <c r="G150" s="2">
        <f t="shared" ref="G150" si="816">D150*E150</f>
        <v>0.9</v>
      </c>
      <c r="H150" s="439">
        <f t="shared" ref="H150" si="817">G150+D150</f>
        <v>9.9</v>
      </c>
      <c r="I150" s="9">
        <f t="shared" ref="I150" si="818">H150*0.21</f>
        <v>2.0790000000000002</v>
      </c>
      <c r="J150" s="440">
        <f t="shared" ref="J150" si="819">H150+I150</f>
        <v>11.979000000000001</v>
      </c>
      <c r="L150" s="153">
        <f t="shared" ref="L150" si="820">D150*F150</f>
        <v>0.9</v>
      </c>
      <c r="M150" s="439">
        <f t="shared" ref="M150" si="821">D150+L150</f>
        <v>9.9</v>
      </c>
      <c r="N150" s="9">
        <f t="shared" ref="N150" si="822">M150*0.21</f>
        <v>2.0790000000000002</v>
      </c>
      <c r="O150" s="440">
        <f t="shared" ref="O150" si="823">M150+N150</f>
        <v>11.979000000000001</v>
      </c>
    </row>
    <row r="151" spans="1:15" x14ac:dyDescent="0.3">
      <c r="A151" s="435" t="s">
        <v>1117</v>
      </c>
      <c r="B151" s="453" t="s">
        <v>1339</v>
      </c>
      <c r="C151" s="441" t="s">
        <v>1655</v>
      </c>
      <c r="D151" s="436">
        <v>9.5</v>
      </c>
      <c r="E151" s="437">
        <v>0.1</v>
      </c>
      <c r="F151" s="438">
        <v>0.1</v>
      </c>
      <c r="G151" s="2">
        <f t="shared" ref="G151" si="824">D151*E151</f>
        <v>0.95000000000000007</v>
      </c>
      <c r="H151" s="439">
        <f t="shared" ref="H151" si="825">G151+D151</f>
        <v>10.45</v>
      </c>
      <c r="I151" s="9">
        <f t="shared" ref="I151" si="826">H151*0.21</f>
        <v>2.1944999999999997</v>
      </c>
      <c r="J151" s="440">
        <f t="shared" ref="J151" si="827">H151+I151</f>
        <v>12.644499999999999</v>
      </c>
      <c r="L151" s="153">
        <f t="shared" ref="L151" si="828">D151*F151</f>
        <v>0.95000000000000007</v>
      </c>
      <c r="M151" s="439">
        <f t="shared" ref="M151" si="829">D151+L151</f>
        <v>10.45</v>
      </c>
      <c r="N151" s="9">
        <f t="shared" ref="N151" si="830">M151*0.21</f>
        <v>2.1944999999999997</v>
      </c>
      <c r="O151" s="440">
        <f t="shared" ref="O151" si="831">M151+N151</f>
        <v>12.644499999999999</v>
      </c>
    </row>
    <row r="152" spans="1:15" x14ac:dyDescent="0.3">
      <c r="A152" s="435" t="s">
        <v>1119</v>
      </c>
      <c r="B152" s="453" t="s">
        <v>1340</v>
      </c>
      <c r="C152" s="441" t="s">
        <v>1655</v>
      </c>
      <c r="D152" s="436">
        <v>10</v>
      </c>
      <c r="E152" s="437">
        <v>0.1</v>
      </c>
      <c r="F152" s="438">
        <v>0.1</v>
      </c>
      <c r="G152" s="2">
        <f t="shared" ref="G152" si="832">D152*E152</f>
        <v>1</v>
      </c>
      <c r="H152" s="439">
        <f t="shared" ref="H152" si="833">G152+D152</f>
        <v>11</v>
      </c>
      <c r="I152" s="9">
        <f t="shared" ref="I152" si="834">H152*0.21</f>
        <v>2.31</v>
      </c>
      <c r="J152" s="440">
        <f t="shared" ref="J152" si="835">H152+I152</f>
        <v>13.31</v>
      </c>
      <c r="L152" s="153">
        <f t="shared" ref="L152" si="836">D152*F152</f>
        <v>1</v>
      </c>
      <c r="M152" s="439">
        <f t="shared" ref="M152" si="837">D152+L152</f>
        <v>11</v>
      </c>
      <c r="N152" s="9">
        <f t="shared" ref="N152" si="838">M152*0.21</f>
        <v>2.31</v>
      </c>
      <c r="O152" s="440">
        <f t="shared" ref="O152" si="839">M152+N152</f>
        <v>13.31</v>
      </c>
    </row>
    <row r="153" spans="1:15" x14ac:dyDescent="0.3">
      <c r="A153" s="435" t="s">
        <v>1121</v>
      </c>
      <c r="B153" s="453" t="s">
        <v>1341</v>
      </c>
      <c r="C153" s="441" t="s">
        <v>1655</v>
      </c>
      <c r="D153" s="436">
        <v>10.5</v>
      </c>
      <c r="E153" s="437">
        <v>0.1</v>
      </c>
      <c r="F153" s="438">
        <v>0.1</v>
      </c>
      <c r="G153" s="2">
        <f t="shared" ref="G153" si="840">D153*E153</f>
        <v>1.05</v>
      </c>
      <c r="H153" s="439">
        <f t="shared" ref="H153" si="841">G153+D153</f>
        <v>11.55</v>
      </c>
      <c r="I153" s="9">
        <f t="shared" ref="I153" si="842">H153*0.21</f>
        <v>2.4255</v>
      </c>
      <c r="J153" s="440">
        <f t="shared" ref="J153" si="843">H153+I153</f>
        <v>13.9755</v>
      </c>
      <c r="L153" s="153">
        <f t="shared" ref="L153" si="844">D153*F153</f>
        <v>1.05</v>
      </c>
      <c r="M153" s="439">
        <f t="shared" ref="M153" si="845">D153+L153</f>
        <v>11.55</v>
      </c>
      <c r="N153" s="9">
        <f t="shared" ref="N153" si="846">M153*0.21</f>
        <v>2.4255</v>
      </c>
      <c r="O153" s="440">
        <f t="shared" ref="O153" si="847">M153+N153</f>
        <v>13.9755</v>
      </c>
    </row>
  </sheetData>
  <mergeCells count="5">
    <mergeCell ref="L10:O10"/>
    <mergeCell ref="A1:D4"/>
    <mergeCell ref="A6:D7"/>
    <mergeCell ref="A8:D9"/>
    <mergeCell ref="E10:F1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O91"/>
  <sheetViews>
    <sheetView zoomScale="90" zoomScaleNormal="90" workbookViewId="0">
      <selection activeCell="F31" sqref="F31"/>
    </sheetView>
  </sheetViews>
  <sheetFormatPr defaultRowHeight="14.4" x14ac:dyDescent="0.3"/>
  <cols>
    <col min="2" max="2" width="31.6640625" customWidth="1"/>
    <col min="3" max="3" width="17.6640625" customWidth="1"/>
    <col min="4" max="4" width="15.88671875" customWidth="1"/>
    <col min="5" max="5" width="8.88671875" customWidth="1"/>
    <col min="6" max="6" width="11.109375" customWidth="1"/>
    <col min="7" max="7" width="11.88671875" customWidth="1"/>
    <col min="8" max="8" width="15.44140625" customWidth="1"/>
    <col min="9" max="9" width="9" customWidth="1"/>
    <col min="10" max="10" width="12" customWidth="1"/>
    <col min="13" max="13" width="15.44140625" customWidth="1"/>
    <col min="15" max="15" width="11.44140625" customWidth="1"/>
  </cols>
  <sheetData>
    <row r="1" spans="1:15" x14ac:dyDescent="0.3">
      <c r="A1" s="518"/>
      <c r="B1" s="519"/>
      <c r="C1" s="519"/>
      <c r="D1" s="520"/>
    </row>
    <row r="2" spans="1:15" x14ac:dyDescent="0.3">
      <c r="A2" s="521"/>
      <c r="B2" s="522"/>
      <c r="C2" s="522"/>
      <c r="D2" s="523"/>
    </row>
    <row r="3" spans="1:15" x14ac:dyDescent="0.3">
      <c r="A3" s="521"/>
      <c r="B3" s="522"/>
      <c r="C3" s="522"/>
      <c r="D3" s="523"/>
    </row>
    <row r="4" spans="1:15" x14ac:dyDescent="0.3">
      <c r="A4" s="524"/>
      <c r="B4" s="525"/>
      <c r="C4" s="525"/>
      <c r="D4" s="526"/>
    </row>
    <row r="6" spans="1:15" ht="14.4" customHeight="1" x14ac:dyDescent="0.3">
      <c r="A6" s="527" t="s">
        <v>1657</v>
      </c>
      <c r="B6" s="528"/>
      <c r="C6" s="528"/>
      <c r="D6" s="529"/>
    </row>
    <row r="7" spans="1:15" ht="14.4" customHeight="1" x14ac:dyDescent="0.3">
      <c r="A7" s="530"/>
      <c r="B7" s="531"/>
      <c r="C7" s="531"/>
      <c r="D7" s="532"/>
    </row>
    <row r="8" spans="1:15" ht="14.4" customHeight="1" x14ac:dyDescent="0.3">
      <c r="A8" s="533" t="s">
        <v>2218</v>
      </c>
      <c r="B8" s="534"/>
      <c r="C8" s="534"/>
      <c r="D8" s="535"/>
    </row>
    <row r="9" spans="1:15" ht="14.4" customHeight="1" x14ac:dyDescent="0.3">
      <c r="A9" s="536"/>
      <c r="B9" s="537"/>
      <c r="C9" s="537"/>
      <c r="D9" s="538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x14ac:dyDescent="0.3">
      <c r="A12" s="454" t="s">
        <v>86</v>
      </c>
      <c r="B12" s="455" t="s">
        <v>87</v>
      </c>
      <c r="C12" s="456" t="s">
        <v>1655</v>
      </c>
      <c r="D12" s="457">
        <v>86</v>
      </c>
      <c r="E12" s="458">
        <v>0.02</v>
      </c>
      <c r="F12" s="459">
        <v>0.03</v>
      </c>
      <c r="G12" s="2">
        <f t="shared" ref="G12:G17" si="0">D12*E12</f>
        <v>1.72</v>
      </c>
      <c r="H12" s="460">
        <f t="shared" ref="H12:H17" si="1">G12+D12</f>
        <v>87.72</v>
      </c>
      <c r="I12" s="9">
        <f t="shared" ref="I12:I17" si="2">H12*0.21</f>
        <v>18.421199999999999</v>
      </c>
      <c r="J12" s="461">
        <f t="shared" ref="J12:J17" si="3">H12+I12</f>
        <v>106.1412</v>
      </c>
      <c r="L12" s="153">
        <f t="shared" ref="L12:L17" si="4">D12*F12</f>
        <v>2.58</v>
      </c>
      <c r="M12" s="460">
        <f t="shared" ref="M12:M17" si="5">D12+L12</f>
        <v>88.58</v>
      </c>
      <c r="N12" s="9">
        <f t="shared" ref="N12:N17" si="6">M12*0.21</f>
        <v>18.601799999999997</v>
      </c>
      <c r="O12" s="461">
        <f t="shared" ref="O12:O17" si="7">M12+N12</f>
        <v>107.1818</v>
      </c>
    </row>
    <row r="13" spans="1:15" x14ac:dyDescent="0.3">
      <c r="A13" s="454" t="s">
        <v>89</v>
      </c>
      <c r="B13" s="455" t="s">
        <v>90</v>
      </c>
      <c r="C13" s="456" t="s">
        <v>1655</v>
      </c>
      <c r="D13" s="457">
        <v>84.95</v>
      </c>
      <c r="E13" s="458">
        <v>0.04</v>
      </c>
      <c r="F13" s="459">
        <v>0.05</v>
      </c>
      <c r="G13" s="2">
        <f t="shared" si="0"/>
        <v>3.3980000000000001</v>
      </c>
      <c r="H13" s="460">
        <f t="shared" si="1"/>
        <v>88.347999999999999</v>
      </c>
      <c r="I13" s="9">
        <f t="shared" si="2"/>
        <v>18.553079999999998</v>
      </c>
      <c r="J13" s="461">
        <f t="shared" si="3"/>
        <v>106.90107999999999</v>
      </c>
      <c r="L13" s="153">
        <f t="shared" si="4"/>
        <v>4.2475000000000005</v>
      </c>
      <c r="M13" s="460">
        <f t="shared" si="5"/>
        <v>89.197500000000005</v>
      </c>
      <c r="N13" s="9">
        <f t="shared" si="6"/>
        <v>18.731475</v>
      </c>
      <c r="O13" s="461">
        <f t="shared" si="7"/>
        <v>107.92897500000001</v>
      </c>
    </row>
    <row r="14" spans="1:15" x14ac:dyDescent="0.3">
      <c r="A14" s="454" t="s">
        <v>121</v>
      </c>
      <c r="B14" s="455" t="s">
        <v>122</v>
      </c>
      <c r="C14" s="456" t="s">
        <v>1655</v>
      </c>
      <c r="D14" s="457">
        <v>83.9</v>
      </c>
      <c r="E14" s="458">
        <v>0.06</v>
      </c>
      <c r="F14" s="459">
        <v>7.0000000000000007E-2</v>
      </c>
      <c r="G14" s="2">
        <f t="shared" si="0"/>
        <v>5.0339999999999998</v>
      </c>
      <c r="H14" s="460">
        <f t="shared" si="1"/>
        <v>88.934000000000012</v>
      </c>
      <c r="I14" s="9">
        <f t="shared" si="2"/>
        <v>18.67614</v>
      </c>
      <c r="J14" s="461">
        <f t="shared" si="3"/>
        <v>107.61014000000002</v>
      </c>
      <c r="L14" s="153">
        <f t="shared" si="4"/>
        <v>5.8730000000000011</v>
      </c>
      <c r="M14" s="460">
        <f t="shared" si="5"/>
        <v>89.77300000000001</v>
      </c>
      <c r="N14" s="9">
        <f t="shared" si="6"/>
        <v>18.852330000000002</v>
      </c>
      <c r="O14" s="461">
        <f t="shared" si="7"/>
        <v>108.62533000000002</v>
      </c>
    </row>
    <row r="15" spans="1:15" x14ac:dyDescent="0.3">
      <c r="A15" s="454" t="s">
        <v>123</v>
      </c>
      <c r="B15" s="455" t="s">
        <v>124</v>
      </c>
      <c r="C15" s="456" t="s">
        <v>1655</v>
      </c>
      <c r="D15" s="457">
        <v>82.85</v>
      </c>
      <c r="E15" s="458">
        <v>0.08</v>
      </c>
      <c r="F15" s="459">
        <v>0.09</v>
      </c>
      <c r="G15" s="2">
        <f t="shared" si="0"/>
        <v>6.6280000000000001</v>
      </c>
      <c r="H15" s="460">
        <f t="shared" si="1"/>
        <v>89.477999999999994</v>
      </c>
      <c r="I15" s="9">
        <f t="shared" si="2"/>
        <v>18.790379999999999</v>
      </c>
      <c r="J15" s="461">
        <f t="shared" si="3"/>
        <v>108.26837999999999</v>
      </c>
      <c r="L15" s="153">
        <f t="shared" si="4"/>
        <v>7.4564999999999992</v>
      </c>
      <c r="M15" s="460">
        <f t="shared" si="5"/>
        <v>90.3065</v>
      </c>
      <c r="N15" s="9">
        <f t="shared" si="6"/>
        <v>18.964365000000001</v>
      </c>
      <c r="O15" s="461">
        <f t="shared" si="7"/>
        <v>109.270865</v>
      </c>
    </row>
    <row r="16" spans="1:15" x14ac:dyDescent="0.3">
      <c r="A16" s="454" t="s">
        <v>126</v>
      </c>
      <c r="B16" s="455" t="s">
        <v>127</v>
      </c>
      <c r="C16" s="456" t="s">
        <v>1655</v>
      </c>
      <c r="D16" s="457">
        <v>81.8</v>
      </c>
      <c r="E16" s="458">
        <v>0.1</v>
      </c>
      <c r="F16" s="459">
        <v>0.11</v>
      </c>
      <c r="G16" s="2">
        <f t="shared" si="0"/>
        <v>8.18</v>
      </c>
      <c r="H16" s="460">
        <f t="shared" si="1"/>
        <v>89.97999999999999</v>
      </c>
      <c r="I16" s="9">
        <f t="shared" si="2"/>
        <v>18.895799999999998</v>
      </c>
      <c r="J16" s="461">
        <f t="shared" si="3"/>
        <v>108.87579999999998</v>
      </c>
      <c r="L16" s="153">
        <f t="shared" si="4"/>
        <v>8.9979999999999993</v>
      </c>
      <c r="M16" s="460">
        <f t="shared" si="5"/>
        <v>90.798000000000002</v>
      </c>
      <c r="N16" s="9">
        <f t="shared" si="6"/>
        <v>19.06758</v>
      </c>
      <c r="O16" s="461">
        <f t="shared" si="7"/>
        <v>109.86557999999999</v>
      </c>
    </row>
    <row r="17" spans="1:15" x14ac:dyDescent="0.3">
      <c r="A17" s="454" t="s">
        <v>134</v>
      </c>
      <c r="B17" s="455" t="s">
        <v>135</v>
      </c>
      <c r="C17" s="456" t="s">
        <v>1655</v>
      </c>
      <c r="D17" s="457">
        <v>80.75</v>
      </c>
      <c r="E17" s="458">
        <v>0.12</v>
      </c>
      <c r="F17" s="459">
        <v>0.13</v>
      </c>
      <c r="G17" s="2">
        <f t="shared" si="0"/>
        <v>9.69</v>
      </c>
      <c r="H17" s="460">
        <f t="shared" si="1"/>
        <v>90.44</v>
      </c>
      <c r="I17" s="9">
        <f t="shared" si="2"/>
        <v>18.9924</v>
      </c>
      <c r="J17" s="461">
        <f t="shared" si="3"/>
        <v>109.4324</v>
      </c>
      <c r="L17" s="153">
        <f t="shared" si="4"/>
        <v>10.4975</v>
      </c>
      <c r="M17" s="460">
        <f t="shared" si="5"/>
        <v>91.247500000000002</v>
      </c>
      <c r="N17" s="9">
        <f t="shared" si="6"/>
        <v>19.161974999999998</v>
      </c>
      <c r="O17" s="461">
        <f t="shared" si="7"/>
        <v>110.409475</v>
      </c>
    </row>
    <row r="18" spans="1:15" x14ac:dyDescent="0.3">
      <c r="A18" s="454" t="s">
        <v>139</v>
      </c>
      <c r="B18" s="455" t="s">
        <v>140</v>
      </c>
      <c r="C18" s="456" t="s">
        <v>1655</v>
      </c>
      <c r="D18" s="457">
        <v>79.7</v>
      </c>
      <c r="E18" s="458">
        <v>0.14000000000000001</v>
      </c>
      <c r="F18" s="459">
        <v>0.15</v>
      </c>
      <c r="G18" s="2">
        <f t="shared" ref="G18" si="8">D18*E18</f>
        <v>11.158000000000001</v>
      </c>
      <c r="H18" s="460">
        <f t="shared" ref="H18" si="9">G18+D18</f>
        <v>90.858000000000004</v>
      </c>
      <c r="I18" s="9">
        <f t="shared" ref="I18" si="10">H18*0.21</f>
        <v>19.080179999999999</v>
      </c>
      <c r="J18" s="461">
        <f t="shared" ref="J18" si="11">H18+I18</f>
        <v>109.93818</v>
      </c>
      <c r="L18" s="153">
        <f t="shared" ref="L18" si="12">D18*F18</f>
        <v>11.955</v>
      </c>
      <c r="M18" s="460">
        <f t="shared" ref="M18" si="13">D18+L18</f>
        <v>91.655000000000001</v>
      </c>
      <c r="N18" s="9">
        <f t="shared" ref="N18" si="14">M18*0.21</f>
        <v>19.24755</v>
      </c>
      <c r="O18" s="461">
        <f t="shared" ref="O18" si="15">M18+N18</f>
        <v>110.90255000000001</v>
      </c>
    </row>
    <row r="19" spans="1:15" x14ac:dyDescent="0.3">
      <c r="A19" s="454" t="s">
        <v>148</v>
      </c>
      <c r="B19" s="455" t="s">
        <v>149</v>
      </c>
      <c r="C19" s="456" t="s">
        <v>1655</v>
      </c>
      <c r="D19" s="457">
        <v>78.650000000000006</v>
      </c>
      <c r="E19" s="458">
        <v>0.16</v>
      </c>
      <c r="F19" s="459">
        <v>0.17</v>
      </c>
      <c r="G19" s="2">
        <f t="shared" ref="G19" si="16">D19*E19</f>
        <v>12.584000000000001</v>
      </c>
      <c r="H19" s="460">
        <f t="shared" ref="H19" si="17">G19+D19</f>
        <v>91.234000000000009</v>
      </c>
      <c r="I19" s="9">
        <f t="shared" ref="I19" si="18">H19*0.21</f>
        <v>19.159140000000001</v>
      </c>
      <c r="J19" s="461">
        <f t="shared" ref="J19" si="19">H19+I19</f>
        <v>110.39314000000002</v>
      </c>
      <c r="L19" s="153">
        <f t="shared" ref="L19" si="20">D19*F19</f>
        <v>13.370500000000002</v>
      </c>
      <c r="M19" s="460">
        <f t="shared" ref="M19" si="21">D19+L19</f>
        <v>92.020500000000013</v>
      </c>
      <c r="N19" s="9">
        <f t="shared" ref="N19" si="22">M19*0.21</f>
        <v>19.324305000000003</v>
      </c>
      <c r="O19" s="461">
        <f t="shared" ref="O19" si="23">M19+N19</f>
        <v>111.34480500000001</v>
      </c>
    </row>
    <row r="20" spans="1:15" x14ac:dyDescent="0.3">
      <c r="A20" s="454" t="s">
        <v>151</v>
      </c>
      <c r="B20" s="455" t="s">
        <v>152</v>
      </c>
      <c r="C20" s="456" t="s">
        <v>1655</v>
      </c>
      <c r="D20" s="457">
        <v>77.599999999999994</v>
      </c>
      <c r="E20" s="458">
        <v>0.18</v>
      </c>
      <c r="F20" s="459">
        <v>0.19</v>
      </c>
      <c r="G20" s="2">
        <f t="shared" ref="G20" si="24">D20*E20</f>
        <v>13.967999999999998</v>
      </c>
      <c r="H20" s="460">
        <f t="shared" ref="H20" si="25">G20+D20</f>
        <v>91.567999999999998</v>
      </c>
      <c r="I20" s="9">
        <f t="shared" ref="I20" si="26">H20*0.21</f>
        <v>19.229279999999999</v>
      </c>
      <c r="J20" s="461">
        <f t="shared" ref="J20" si="27">H20+I20</f>
        <v>110.79728</v>
      </c>
      <c r="L20" s="153">
        <f t="shared" ref="L20" si="28">D20*F20</f>
        <v>14.744</v>
      </c>
      <c r="M20" s="460">
        <f t="shared" ref="M20" si="29">D20+L20</f>
        <v>92.343999999999994</v>
      </c>
      <c r="N20" s="9">
        <f t="shared" ref="N20" si="30">M20*0.21</f>
        <v>19.392239999999997</v>
      </c>
      <c r="O20" s="461">
        <f t="shared" ref="O20" si="31">M20+N20</f>
        <v>111.73624</v>
      </c>
    </row>
    <row r="21" spans="1:15" x14ac:dyDescent="0.3">
      <c r="A21" s="454" t="s">
        <v>168</v>
      </c>
      <c r="B21" s="455" t="s">
        <v>169</v>
      </c>
      <c r="C21" s="456" t="s">
        <v>1655</v>
      </c>
      <c r="D21" s="457">
        <v>76.55</v>
      </c>
      <c r="E21" s="458">
        <v>0.2</v>
      </c>
      <c r="F21" s="459">
        <v>0.21</v>
      </c>
      <c r="G21" s="2">
        <f t="shared" ref="G21" si="32">D21*E21</f>
        <v>15.31</v>
      </c>
      <c r="H21" s="460">
        <f t="shared" ref="H21" si="33">G21+D21</f>
        <v>91.86</v>
      </c>
      <c r="I21" s="9">
        <f t="shared" ref="I21" si="34">H21*0.21</f>
        <v>19.290599999999998</v>
      </c>
      <c r="J21" s="461">
        <f t="shared" ref="J21" si="35">H21+I21</f>
        <v>111.1506</v>
      </c>
      <c r="L21" s="153">
        <f t="shared" ref="L21" si="36">D21*F21</f>
        <v>16.075499999999998</v>
      </c>
      <c r="M21" s="460">
        <f t="shared" ref="M21" si="37">D21+L21</f>
        <v>92.625499999999988</v>
      </c>
      <c r="N21" s="9">
        <f t="shared" ref="N21" si="38">M21*0.21</f>
        <v>19.451354999999996</v>
      </c>
      <c r="O21" s="461">
        <f t="shared" ref="O21" si="39">M21+N21</f>
        <v>112.07685499999998</v>
      </c>
    </row>
    <row r="22" spans="1:15" x14ac:dyDescent="0.3">
      <c r="A22" s="454" t="s">
        <v>172</v>
      </c>
      <c r="B22" s="455" t="s">
        <v>173</v>
      </c>
      <c r="C22" s="456" t="s">
        <v>1655</v>
      </c>
      <c r="D22" s="457">
        <v>75.5</v>
      </c>
      <c r="E22" s="458">
        <v>0.22</v>
      </c>
      <c r="F22" s="459">
        <v>0.23</v>
      </c>
      <c r="G22" s="2">
        <f t="shared" ref="G22" si="40">D22*E22</f>
        <v>16.61</v>
      </c>
      <c r="H22" s="460">
        <f t="shared" ref="H22" si="41">G22+D22</f>
        <v>92.11</v>
      </c>
      <c r="I22" s="9">
        <f t="shared" ref="I22" si="42">H22*0.21</f>
        <v>19.3431</v>
      </c>
      <c r="J22" s="461">
        <f t="shared" ref="J22" si="43">H22+I22</f>
        <v>111.45310000000001</v>
      </c>
      <c r="L22" s="153">
        <f t="shared" ref="L22" si="44">D22*F22</f>
        <v>17.365000000000002</v>
      </c>
      <c r="M22" s="460">
        <f t="shared" ref="M22" si="45">D22+L22</f>
        <v>92.865000000000009</v>
      </c>
      <c r="N22" s="9">
        <f t="shared" ref="N22" si="46">M22*0.21</f>
        <v>19.501650000000001</v>
      </c>
      <c r="O22" s="461">
        <f t="shared" ref="O22" si="47">M22+N22</f>
        <v>112.36665000000001</v>
      </c>
    </row>
    <row r="23" spans="1:15" x14ac:dyDescent="0.3">
      <c r="A23" s="454" t="s">
        <v>175</v>
      </c>
      <c r="B23" s="455" t="s">
        <v>176</v>
      </c>
      <c r="C23" s="456" t="s">
        <v>1655</v>
      </c>
      <c r="D23" s="457">
        <v>74.45</v>
      </c>
      <c r="E23" s="458">
        <v>0.24</v>
      </c>
      <c r="F23" s="459">
        <v>0.25</v>
      </c>
      <c r="G23" s="2">
        <f t="shared" ref="G23" si="48">D23*E23</f>
        <v>17.867999999999999</v>
      </c>
      <c r="H23" s="460">
        <f t="shared" ref="H23" si="49">G23+D23</f>
        <v>92.317999999999998</v>
      </c>
      <c r="I23" s="9">
        <f t="shared" ref="I23" si="50">H23*0.21</f>
        <v>19.386779999999998</v>
      </c>
      <c r="J23" s="461">
        <f t="shared" ref="J23" si="51">H23+I23</f>
        <v>111.70478</v>
      </c>
      <c r="L23" s="153">
        <f t="shared" ref="L23" si="52">D23*F23</f>
        <v>18.612500000000001</v>
      </c>
      <c r="M23" s="460">
        <f t="shared" ref="M23" si="53">D23+L23</f>
        <v>93.0625</v>
      </c>
      <c r="N23" s="9">
        <f t="shared" ref="N23" si="54">M23*0.21</f>
        <v>19.543125</v>
      </c>
      <c r="O23" s="461">
        <f t="shared" ref="O23" si="55">M23+N23</f>
        <v>112.605625</v>
      </c>
    </row>
    <row r="24" spans="1:15" x14ac:dyDescent="0.3">
      <c r="A24" s="454" t="s">
        <v>184</v>
      </c>
      <c r="B24" s="455" t="s">
        <v>185</v>
      </c>
      <c r="C24" s="456" t="s">
        <v>1655</v>
      </c>
      <c r="D24" s="457">
        <v>73.400000000000006</v>
      </c>
      <c r="E24" s="458">
        <v>0.26</v>
      </c>
      <c r="F24" s="459">
        <v>0.27</v>
      </c>
      <c r="G24" s="2">
        <f t="shared" ref="G24" si="56">D24*E24</f>
        <v>19.084000000000003</v>
      </c>
      <c r="H24" s="460">
        <f t="shared" ref="H24" si="57">G24+D24</f>
        <v>92.484000000000009</v>
      </c>
      <c r="I24" s="9">
        <f t="shared" ref="I24" si="58">H24*0.21</f>
        <v>19.42164</v>
      </c>
      <c r="J24" s="461">
        <f t="shared" ref="J24" si="59">H24+I24</f>
        <v>111.90564000000001</v>
      </c>
      <c r="L24" s="153">
        <f t="shared" ref="L24" si="60">D24*F24</f>
        <v>19.818000000000001</v>
      </c>
      <c r="M24" s="460">
        <f t="shared" ref="M24" si="61">D24+L24</f>
        <v>93.218000000000004</v>
      </c>
      <c r="N24" s="9">
        <f t="shared" ref="N24" si="62">M24*0.21</f>
        <v>19.575780000000002</v>
      </c>
      <c r="O24" s="461">
        <f t="shared" ref="O24" si="63">M24+N24</f>
        <v>112.79378</v>
      </c>
    </row>
    <row r="25" spans="1:15" x14ac:dyDescent="0.3">
      <c r="A25" s="454" t="s">
        <v>191</v>
      </c>
      <c r="B25" s="455" t="s">
        <v>192</v>
      </c>
      <c r="C25" s="456" t="s">
        <v>1655</v>
      </c>
      <c r="D25" s="457">
        <v>72.349999999999994</v>
      </c>
      <c r="E25" s="458">
        <v>0.28000000000000003</v>
      </c>
      <c r="F25" s="459">
        <v>0.28999999999999998</v>
      </c>
      <c r="G25" s="2">
        <f t="shared" ref="G25" si="64">D25*E25</f>
        <v>20.257999999999999</v>
      </c>
      <c r="H25" s="460">
        <f t="shared" ref="H25" si="65">G25+D25</f>
        <v>92.60799999999999</v>
      </c>
      <c r="I25" s="9">
        <f t="shared" ref="I25" si="66">H25*0.21</f>
        <v>19.447679999999998</v>
      </c>
      <c r="J25" s="461">
        <f t="shared" ref="J25" si="67">H25+I25</f>
        <v>112.05568</v>
      </c>
      <c r="L25" s="153">
        <f t="shared" ref="L25" si="68">D25*F25</f>
        <v>20.981499999999997</v>
      </c>
      <c r="M25" s="460">
        <f t="shared" ref="M25" si="69">D25+L25</f>
        <v>93.331499999999991</v>
      </c>
      <c r="N25" s="9">
        <f t="shared" ref="N25" si="70">M25*0.21</f>
        <v>19.599614999999996</v>
      </c>
      <c r="O25" s="461">
        <f t="shared" ref="O25" si="71">M25+N25</f>
        <v>112.93111499999999</v>
      </c>
    </row>
    <row r="26" spans="1:15" x14ac:dyDescent="0.3">
      <c r="A26" s="454" t="s">
        <v>193</v>
      </c>
      <c r="B26" s="455" t="s">
        <v>274</v>
      </c>
      <c r="C26" s="456" t="s">
        <v>1655</v>
      </c>
      <c r="D26" s="457">
        <v>71.3</v>
      </c>
      <c r="E26" s="458">
        <v>0.3</v>
      </c>
      <c r="F26" s="459">
        <v>0.31</v>
      </c>
      <c r="G26" s="2">
        <f t="shared" ref="G26" si="72">D26*E26</f>
        <v>21.389999999999997</v>
      </c>
      <c r="H26" s="460">
        <f t="shared" ref="H26" si="73">G26+D26</f>
        <v>92.69</v>
      </c>
      <c r="I26" s="9">
        <f t="shared" ref="I26" si="74">H26*0.21</f>
        <v>19.4649</v>
      </c>
      <c r="J26" s="461">
        <f t="shared" ref="J26" si="75">H26+I26</f>
        <v>112.1549</v>
      </c>
      <c r="L26" s="153">
        <f t="shared" ref="L26" si="76">D26*F26</f>
        <v>22.102999999999998</v>
      </c>
      <c r="M26" s="460">
        <f t="shared" ref="M26" si="77">D26+L26</f>
        <v>93.402999999999992</v>
      </c>
      <c r="N26" s="9">
        <f t="shared" ref="N26" si="78">M26*0.21</f>
        <v>19.614629999999998</v>
      </c>
      <c r="O26" s="461">
        <f t="shared" ref="O26" si="79">M26+N26</f>
        <v>113.01763</v>
      </c>
    </row>
    <row r="27" spans="1:15" x14ac:dyDescent="0.3">
      <c r="A27" s="454" t="s">
        <v>206</v>
      </c>
      <c r="B27" s="455" t="s">
        <v>208</v>
      </c>
      <c r="C27" s="456" t="s">
        <v>1655</v>
      </c>
      <c r="D27" s="457">
        <v>70.25</v>
      </c>
      <c r="E27" s="458">
        <v>0.32</v>
      </c>
      <c r="F27" s="459">
        <v>0.33</v>
      </c>
      <c r="G27" s="2">
        <f t="shared" ref="G27" si="80">D27*E27</f>
        <v>22.48</v>
      </c>
      <c r="H27" s="460">
        <f t="shared" ref="H27" si="81">G27+D27</f>
        <v>92.73</v>
      </c>
      <c r="I27" s="9">
        <f t="shared" ref="I27" si="82">H27*0.21</f>
        <v>19.473300000000002</v>
      </c>
      <c r="J27" s="461">
        <f t="shared" ref="J27" si="83">H27+I27</f>
        <v>112.20330000000001</v>
      </c>
      <c r="L27" s="153">
        <f t="shared" ref="L27" si="84">D27*F27</f>
        <v>23.182500000000001</v>
      </c>
      <c r="M27" s="460">
        <f t="shared" ref="M27" si="85">D27+L27</f>
        <v>93.432500000000005</v>
      </c>
      <c r="N27" s="9">
        <f t="shared" ref="N27" si="86">M27*0.21</f>
        <v>19.620825</v>
      </c>
      <c r="O27" s="461">
        <f t="shared" ref="O27" si="87">M27+N27</f>
        <v>113.053325</v>
      </c>
    </row>
    <row r="28" spans="1:15" x14ac:dyDescent="0.3">
      <c r="A28" s="454" t="s">
        <v>207</v>
      </c>
      <c r="B28" s="455" t="s">
        <v>233</v>
      </c>
      <c r="C28" s="456" t="s">
        <v>1655</v>
      </c>
      <c r="D28" s="457">
        <v>69.2</v>
      </c>
      <c r="E28" s="458">
        <v>0.34</v>
      </c>
      <c r="F28" s="459">
        <v>0.35</v>
      </c>
      <c r="G28" s="2">
        <f t="shared" ref="G28" si="88">D28*E28</f>
        <v>23.528000000000002</v>
      </c>
      <c r="H28" s="460">
        <f t="shared" ref="H28" si="89">G28+D28</f>
        <v>92.728000000000009</v>
      </c>
      <c r="I28" s="9">
        <f t="shared" ref="I28" si="90">H28*0.21</f>
        <v>19.47288</v>
      </c>
      <c r="J28" s="461">
        <f t="shared" ref="J28" si="91">H28+I28</f>
        <v>112.20088000000001</v>
      </c>
      <c r="L28" s="153">
        <f t="shared" ref="L28" si="92">D28*F28</f>
        <v>24.22</v>
      </c>
      <c r="M28" s="460">
        <f t="shared" ref="M28" si="93">D28+L28</f>
        <v>93.42</v>
      </c>
      <c r="N28" s="9">
        <f t="shared" ref="N28" si="94">M28*0.21</f>
        <v>19.618199999999998</v>
      </c>
      <c r="O28" s="461">
        <f t="shared" ref="O28" si="95">M28+N28</f>
        <v>113.0382</v>
      </c>
    </row>
    <row r="29" spans="1:15" x14ac:dyDescent="0.3">
      <c r="A29" s="454" t="s">
        <v>232</v>
      </c>
      <c r="B29" s="455" t="s">
        <v>242</v>
      </c>
      <c r="C29" s="456" t="s">
        <v>1655</v>
      </c>
      <c r="D29" s="457">
        <v>68.150000000000006</v>
      </c>
      <c r="E29" s="458">
        <v>0.36</v>
      </c>
      <c r="F29" s="459">
        <v>0.37</v>
      </c>
      <c r="G29" s="2">
        <f t="shared" ref="G29" si="96">D29*E29</f>
        <v>24.534000000000002</v>
      </c>
      <c r="H29" s="460">
        <f t="shared" ref="H29" si="97">G29+D29</f>
        <v>92.684000000000012</v>
      </c>
      <c r="I29" s="9">
        <f t="shared" ref="I29" si="98">H29*0.21</f>
        <v>19.463640000000002</v>
      </c>
      <c r="J29" s="461">
        <f t="shared" ref="J29" si="99">H29+I29</f>
        <v>112.14764000000001</v>
      </c>
      <c r="L29" s="153">
        <f t="shared" ref="L29" si="100">D29*F29</f>
        <v>25.215500000000002</v>
      </c>
      <c r="M29" s="460">
        <f t="shared" ref="M29" si="101">D29+L29</f>
        <v>93.365500000000011</v>
      </c>
      <c r="N29" s="9">
        <f t="shared" ref="N29" si="102">M29*0.21</f>
        <v>19.606755000000003</v>
      </c>
      <c r="O29" s="461">
        <f t="shared" ref="O29" si="103">M29+N29</f>
        <v>112.97225500000002</v>
      </c>
    </row>
    <row r="30" spans="1:15" x14ac:dyDescent="0.3">
      <c r="A30" s="454" t="s">
        <v>241</v>
      </c>
      <c r="B30" s="455" t="s">
        <v>261</v>
      </c>
      <c r="C30" s="456" t="s">
        <v>1655</v>
      </c>
      <c r="D30" s="457">
        <v>67.100000000000094</v>
      </c>
      <c r="E30" s="458">
        <v>0.38</v>
      </c>
      <c r="F30" s="459">
        <v>0.39</v>
      </c>
      <c r="G30" s="2">
        <f t="shared" ref="G30" si="104">D30*E30</f>
        <v>25.498000000000037</v>
      </c>
      <c r="H30" s="460">
        <f t="shared" ref="H30" si="105">G30+D30</f>
        <v>92.598000000000127</v>
      </c>
      <c r="I30" s="9">
        <f t="shared" ref="I30" si="106">H30*0.21</f>
        <v>19.445580000000025</v>
      </c>
      <c r="J30" s="461">
        <f t="shared" ref="J30" si="107">H30+I30</f>
        <v>112.04358000000015</v>
      </c>
      <c r="L30" s="153">
        <f t="shared" ref="L30" si="108">D30*F30</f>
        <v>26.169000000000036</v>
      </c>
      <c r="M30" s="460">
        <f t="shared" ref="M30" si="109">D30+L30</f>
        <v>93.269000000000133</v>
      </c>
      <c r="N30" s="9">
        <f t="shared" ref="N30" si="110">M30*0.21</f>
        <v>19.586490000000026</v>
      </c>
      <c r="O30" s="461">
        <f t="shared" ref="O30" si="111">M30+N30</f>
        <v>112.85549000000016</v>
      </c>
    </row>
    <row r="31" spans="1:15" x14ac:dyDescent="0.3">
      <c r="A31" s="454" t="s">
        <v>260</v>
      </c>
      <c r="B31" s="455" t="s">
        <v>263</v>
      </c>
      <c r="C31" s="456" t="s">
        <v>1655</v>
      </c>
      <c r="D31" s="457">
        <v>66.050000000000097</v>
      </c>
      <c r="E31" s="458">
        <v>0.4</v>
      </c>
      <c r="F31" s="459">
        <v>0.41</v>
      </c>
      <c r="G31" s="2">
        <f t="shared" ref="G31" si="112">D31*E31</f>
        <v>26.420000000000041</v>
      </c>
      <c r="H31" s="460">
        <f t="shared" ref="H31" si="113">G31+D31</f>
        <v>92.470000000000141</v>
      </c>
      <c r="I31" s="9">
        <f t="shared" ref="I31" si="114">H31*0.21</f>
        <v>19.41870000000003</v>
      </c>
      <c r="J31" s="461">
        <f t="shared" ref="J31" si="115">H31+I31</f>
        <v>111.88870000000017</v>
      </c>
      <c r="L31" s="153">
        <f t="shared" ref="L31" si="116">D31*F31</f>
        <v>27.08050000000004</v>
      </c>
      <c r="M31" s="460">
        <f t="shared" ref="M31" si="117">D31+L31</f>
        <v>93.13050000000014</v>
      </c>
      <c r="N31" s="9">
        <f t="shared" ref="N31" si="118">M31*0.21</f>
        <v>19.557405000000028</v>
      </c>
      <c r="O31" s="461">
        <f t="shared" ref="O31" si="119">M31+N31</f>
        <v>112.68790500000017</v>
      </c>
    </row>
    <row r="32" spans="1:15" x14ac:dyDescent="0.3">
      <c r="A32" s="454" t="s">
        <v>262</v>
      </c>
      <c r="B32" s="455" t="s">
        <v>310</v>
      </c>
      <c r="C32" s="456" t="s">
        <v>1655</v>
      </c>
      <c r="D32" s="457">
        <v>65.000000000000099</v>
      </c>
      <c r="E32" s="458">
        <v>0.42</v>
      </c>
      <c r="F32" s="459">
        <v>0.43</v>
      </c>
      <c r="G32" s="2">
        <f t="shared" ref="G32" si="120">D32*E32</f>
        <v>27.30000000000004</v>
      </c>
      <c r="H32" s="460">
        <f t="shared" ref="H32" si="121">G32+D32</f>
        <v>92.300000000000139</v>
      </c>
      <c r="I32" s="9">
        <f t="shared" ref="I32" si="122">H32*0.21</f>
        <v>19.383000000000028</v>
      </c>
      <c r="J32" s="461">
        <f t="shared" ref="J32" si="123">H32+I32</f>
        <v>111.68300000000016</v>
      </c>
      <c r="L32" s="153">
        <f t="shared" ref="L32" si="124">D32*F32</f>
        <v>27.950000000000042</v>
      </c>
      <c r="M32" s="460">
        <f t="shared" ref="M32" si="125">D32+L32</f>
        <v>92.950000000000145</v>
      </c>
      <c r="N32" s="9">
        <f t="shared" ref="N32" si="126">M32*0.21</f>
        <v>19.519500000000029</v>
      </c>
      <c r="O32" s="461">
        <f t="shared" ref="O32" si="127">M32+N32</f>
        <v>112.46950000000018</v>
      </c>
    </row>
    <row r="33" spans="1:15" x14ac:dyDescent="0.3">
      <c r="A33" s="454" t="s">
        <v>309</v>
      </c>
      <c r="B33" s="455" t="s">
        <v>364</v>
      </c>
      <c r="C33" s="456" t="s">
        <v>1655</v>
      </c>
      <c r="D33" s="457">
        <v>63.950000000000102</v>
      </c>
      <c r="E33" s="458">
        <v>0.44</v>
      </c>
      <c r="F33" s="459">
        <v>0.45</v>
      </c>
      <c r="G33" s="2">
        <f t="shared" ref="G33" si="128">D33*E33</f>
        <v>28.138000000000044</v>
      </c>
      <c r="H33" s="460">
        <f t="shared" ref="H33" si="129">G33+D33</f>
        <v>92.08800000000015</v>
      </c>
      <c r="I33" s="9">
        <f t="shared" ref="I33" si="130">H33*0.21</f>
        <v>19.338480000000033</v>
      </c>
      <c r="J33" s="461">
        <f t="shared" ref="J33" si="131">H33+I33</f>
        <v>111.42648000000018</v>
      </c>
      <c r="L33" s="153">
        <f t="shared" ref="L33" si="132">D33*F33</f>
        <v>28.777500000000046</v>
      </c>
      <c r="M33" s="460">
        <f t="shared" ref="M33" si="133">D33+L33</f>
        <v>92.727500000000148</v>
      </c>
      <c r="N33" s="9">
        <f t="shared" ref="N33" si="134">M33*0.21</f>
        <v>19.472775000000031</v>
      </c>
      <c r="O33" s="461">
        <f t="shared" ref="O33" si="135">M33+N33</f>
        <v>112.20027500000018</v>
      </c>
    </row>
    <row r="34" spans="1:15" x14ac:dyDescent="0.3">
      <c r="A34" s="454" t="s">
        <v>363</v>
      </c>
      <c r="B34" s="455" t="s">
        <v>385</v>
      </c>
      <c r="C34" s="456" t="s">
        <v>1655</v>
      </c>
      <c r="D34" s="457">
        <v>62.900000000000098</v>
      </c>
      <c r="E34" s="458">
        <v>0.46</v>
      </c>
      <c r="F34" s="459">
        <v>0.47</v>
      </c>
      <c r="G34" s="2">
        <f t="shared" ref="G34" si="136">D34*E34</f>
        <v>28.934000000000047</v>
      </c>
      <c r="H34" s="460">
        <f t="shared" ref="H34" si="137">G34+D34</f>
        <v>91.834000000000145</v>
      </c>
      <c r="I34" s="9">
        <f t="shared" ref="I34" si="138">H34*0.21</f>
        <v>19.28514000000003</v>
      </c>
      <c r="J34" s="461">
        <f t="shared" ref="J34" si="139">H34+I34</f>
        <v>111.11914000000017</v>
      </c>
      <c r="L34" s="153">
        <f t="shared" ref="L34" si="140">D34*F34</f>
        <v>29.563000000000045</v>
      </c>
      <c r="M34" s="460">
        <f t="shared" ref="M34" si="141">D34+L34</f>
        <v>92.463000000000136</v>
      </c>
      <c r="N34" s="9">
        <f t="shared" ref="N34" si="142">M34*0.21</f>
        <v>19.417230000000028</v>
      </c>
      <c r="O34" s="461">
        <f t="shared" ref="O34" si="143">M34+N34</f>
        <v>111.88023000000017</v>
      </c>
    </row>
    <row r="35" spans="1:15" x14ac:dyDescent="0.3">
      <c r="A35" s="454" t="s">
        <v>384</v>
      </c>
      <c r="B35" s="455" t="s">
        <v>388</v>
      </c>
      <c r="C35" s="456" t="s">
        <v>1655</v>
      </c>
      <c r="D35" s="457">
        <v>61.850000000000101</v>
      </c>
      <c r="E35" s="458">
        <v>0.48</v>
      </c>
      <c r="F35" s="459">
        <v>0.49</v>
      </c>
      <c r="G35" s="2">
        <f t="shared" ref="G35" si="144">D35*E35</f>
        <v>29.688000000000049</v>
      </c>
      <c r="H35" s="460">
        <f t="shared" ref="H35" si="145">G35+D35</f>
        <v>91.538000000000153</v>
      </c>
      <c r="I35" s="9">
        <f t="shared" ref="I35" si="146">H35*0.21</f>
        <v>19.222980000000032</v>
      </c>
      <c r="J35" s="461">
        <f t="shared" ref="J35" si="147">H35+I35</f>
        <v>110.76098000000019</v>
      </c>
      <c r="L35" s="153">
        <f t="shared" ref="L35" si="148">D35*F35</f>
        <v>30.30650000000005</v>
      </c>
      <c r="M35" s="460">
        <f t="shared" ref="M35" si="149">D35+L35</f>
        <v>92.15650000000015</v>
      </c>
      <c r="N35" s="9">
        <f t="shared" ref="N35" si="150">M35*0.21</f>
        <v>19.35286500000003</v>
      </c>
      <c r="O35" s="461">
        <f t="shared" ref="O35" si="151">M35+N35</f>
        <v>111.50936500000017</v>
      </c>
    </row>
    <row r="36" spans="1:15" x14ac:dyDescent="0.3">
      <c r="A36" s="454" t="s">
        <v>387</v>
      </c>
      <c r="B36" s="455" t="s">
        <v>390</v>
      </c>
      <c r="C36" s="456" t="s">
        <v>1655</v>
      </c>
      <c r="D36" s="457">
        <v>60.800000000000097</v>
      </c>
      <c r="E36" s="458">
        <v>0.5</v>
      </c>
      <c r="F36" s="459">
        <v>0.51</v>
      </c>
      <c r="G36" s="2">
        <f t="shared" ref="G36" si="152">D36*E36</f>
        <v>30.400000000000048</v>
      </c>
      <c r="H36" s="460">
        <f t="shared" ref="H36" si="153">G36+D36</f>
        <v>91.200000000000145</v>
      </c>
      <c r="I36" s="9">
        <f t="shared" ref="I36" si="154">H36*0.21</f>
        <v>19.152000000000029</v>
      </c>
      <c r="J36" s="461">
        <f t="shared" ref="J36" si="155">H36+I36</f>
        <v>110.35200000000017</v>
      </c>
      <c r="L36" s="153">
        <f t="shared" ref="L36" si="156">D36*F36</f>
        <v>31.008000000000049</v>
      </c>
      <c r="M36" s="460">
        <f t="shared" ref="M36" si="157">D36+L36</f>
        <v>91.808000000000149</v>
      </c>
      <c r="N36" s="9">
        <f t="shared" ref="N36" si="158">M36*0.21</f>
        <v>19.279680000000031</v>
      </c>
      <c r="O36" s="461">
        <f t="shared" ref="O36" si="159">M36+N36</f>
        <v>111.08768000000018</v>
      </c>
    </row>
    <row r="37" spans="1:15" x14ac:dyDescent="0.3">
      <c r="A37" s="454" t="s">
        <v>389</v>
      </c>
      <c r="B37" s="455" t="s">
        <v>427</v>
      </c>
      <c r="C37" s="456" t="s">
        <v>1655</v>
      </c>
      <c r="D37" s="457">
        <v>59.750000000000099</v>
      </c>
      <c r="E37" s="458">
        <v>0.52</v>
      </c>
      <c r="F37" s="459">
        <v>0.53</v>
      </c>
      <c r="G37" s="2">
        <f t="shared" ref="G37" si="160">D37*E37</f>
        <v>31.070000000000054</v>
      </c>
      <c r="H37" s="460">
        <f t="shared" ref="H37" si="161">G37+D37</f>
        <v>90.820000000000149</v>
      </c>
      <c r="I37" s="9">
        <f t="shared" ref="I37" si="162">H37*0.21</f>
        <v>19.072200000000031</v>
      </c>
      <c r="J37" s="461">
        <f t="shared" ref="J37" si="163">H37+I37</f>
        <v>109.89220000000017</v>
      </c>
      <c r="L37" s="153">
        <f t="shared" ref="L37" si="164">D37*F37</f>
        <v>31.667500000000054</v>
      </c>
      <c r="M37" s="460">
        <f t="shared" ref="M37" si="165">D37+L37</f>
        <v>91.41750000000016</v>
      </c>
      <c r="N37" s="9">
        <f t="shared" ref="N37" si="166">M37*0.21</f>
        <v>19.197675000000032</v>
      </c>
      <c r="O37" s="461">
        <f t="shared" ref="O37" si="167">M37+N37</f>
        <v>110.61517500000019</v>
      </c>
    </row>
    <row r="38" spans="1:15" x14ac:dyDescent="0.3">
      <c r="A38" s="454" t="s">
        <v>426</v>
      </c>
      <c r="B38" s="455" t="s">
        <v>431</v>
      </c>
      <c r="C38" s="456" t="s">
        <v>1655</v>
      </c>
      <c r="D38" s="457">
        <v>58.700000000000102</v>
      </c>
      <c r="E38" s="458">
        <v>0.54</v>
      </c>
      <c r="F38" s="459">
        <v>0.55000000000000004</v>
      </c>
      <c r="G38" s="2">
        <f t="shared" ref="G38" si="168">D38*E38</f>
        <v>31.698000000000057</v>
      </c>
      <c r="H38" s="460">
        <f t="shared" ref="H38" si="169">G38+D38</f>
        <v>90.398000000000167</v>
      </c>
      <c r="I38" s="9">
        <f t="shared" ref="I38" si="170">H38*0.21</f>
        <v>18.983580000000035</v>
      </c>
      <c r="J38" s="461">
        <f t="shared" ref="J38" si="171">H38+I38</f>
        <v>109.3815800000002</v>
      </c>
      <c r="L38" s="153">
        <f t="shared" ref="L38" si="172">D38*F38</f>
        <v>32.285000000000061</v>
      </c>
      <c r="M38" s="460">
        <f t="shared" ref="M38" si="173">D38+L38</f>
        <v>90.985000000000156</v>
      </c>
      <c r="N38" s="9">
        <f t="shared" ref="N38" si="174">M38*0.21</f>
        <v>19.106850000000033</v>
      </c>
      <c r="O38" s="461">
        <f t="shared" ref="O38" si="175">M38+N38</f>
        <v>110.09185000000019</v>
      </c>
    </row>
    <row r="39" spans="1:15" x14ac:dyDescent="0.3">
      <c r="A39" s="454" t="s">
        <v>430</v>
      </c>
      <c r="B39" s="455" t="s">
        <v>450</v>
      </c>
      <c r="C39" s="456" t="s">
        <v>1655</v>
      </c>
      <c r="D39" s="457">
        <v>57.650000000000098</v>
      </c>
      <c r="E39" s="458">
        <v>0.56000000000000005</v>
      </c>
      <c r="F39" s="459">
        <v>0.56999999999999995</v>
      </c>
      <c r="G39" s="2">
        <f t="shared" ref="G39" si="176">D39*E39</f>
        <v>32.284000000000056</v>
      </c>
      <c r="H39" s="460">
        <f t="shared" ref="H39" si="177">G39+D39</f>
        <v>89.934000000000154</v>
      </c>
      <c r="I39" s="9">
        <f t="shared" ref="I39" si="178">H39*0.21</f>
        <v>18.886140000000033</v>
      </c>
      <c r="J39" s="461">
        <f t="shared" ref="J39" si="179">H39+I39</f>
        <v>108.82014000000018</v>
      </c>
      <c r="L39" s="153">
        <f t="shared" ref="L39" si="180">D39*F39</f>
        <v>32.860500000000052</v>
      </c>
      <c r="M39" s="460">
        <f t="shared" ref="M39" si="181">D39+L39</f>
        <v>90.51050000000015</v>
      </c>
      <c r="N39" s="9">
        <f t="shared" ref="N39" si="182">M39*0.21</f>
        <v>19.007205000000031</v>
      </c>
      <c r="O39" s="461">
        <f t="shared" ref="O39" si="183">M39+N39</f>
        <v>109.51770500000018</v>
      </c>
    </row>
    <row r="40" spans="1:15" x14ac:dyDescent="0.3">
      <c r="A40" s="454" t="s">
        <v>434</v>
      </c>
      <c r="B40" s="455" t="s">
        <v>588</v>
      </c>
      <c r="C40" s="456" t="s">
        <v>1655</v>
      </c>
      <c r="D40" s="457">
        <v>56.600000000000101</v>
      </c>
      <c r="E40" s="458">
        <v>0.57999999999999996</v>
      </c>
      <c r="F40" s="459">
        <v>0.59</v>
      </c>
      <c r="G40" s="2">
        <f t="shared" ref="G40" si="184">D40*E40</f>
        <v>32.82800000000006</v>
      </c>
      <c r="H40" s="460">
        <f t="shared" ref="H40" si="185">G40+D40</f>
        <v>89.428000000000168</v>
      </c>
      <c r="I40" s="9">
        <f t="shared" ref="I40" si="186">H40*0.21</f>
        <v>18.779880000000034</v>
      </c>
      <c r="J40" s="461">
        <f t="shared" ref="J40" si="187">H40+I40</f>
        <v>108.2078800000002</v>
      </c>
      <c r="L40" s="153">
        <f t="shared" ref="L40" si="188">D40*F40</f>
        <v>33.394000000000055</v>
      </c>
      <c r="M40" s="460">
        <f t="shared" ref="M40" si="189">D40+L40</f>
        <v>89.994000000000156</v>
      </c>
      <c r="N40" s="9">
        <f t="shared" ref="N40" si="190">M40*0.21</f>
        <v>18.898740000000032</v>
      </c>
      <c r="O40" s="461">
        <f t="shared" ref="O40" si="191">M40+N40</f>
        <v>108.89274000000019</v>
      </c>
    </row>
    <row r="41" spans="1:15" x14ac:dyDescent="0.3">
      <c r="A41" s="454" t="s">
        <v>449</v>
      </c>
      <c r="B41" s="455" t="s">
        <v>696</v>
      </c>
      <c r="C41" s="456" t="s">
        <v>1655</v>
      </c>
      <c r="D41" s="457">
        <v>55.550000000000097</v>
      </c>
      <c r="E41" s="458">
        <v>0.6</v>
      </c>
      <c r="F41" s="459">
        <v>0.61</v>
      </c>
      <c r="G41" s="2">
        <f t="shared" ref="G41" si="192">D41*E41</f>
        <v>33.330000000000055</v>
      </c>
      <c r="H41" s="460">
        <f t="shared" ref="H41" si="193">G41+D41</f>
        <v>88.880000000000152</v>
      </c>
      <c r="I41" s="9">
        <f t="shared" ref="I41" si="194">H41*0.21</f>
        <v>18.664800000000032</v>
      </c>
      <c r="J41" s="461">
        <f t="shared" ref="J41" si="195">H41+I41</f>
        <v>107.54480000000018</v>
      </c>
      <c r="L41" s="153">
        <f t="shared" ref="L41" si="196">D41*F41</f>
        <v>33.885500000000057</v>
      </c>
      <c r="M41" s="460">
        <f t="shared" ref="M41" si="197">D41+L41</f>
        <v>89.435500000000161</v>
      </c>
      <c r="N41" s="9">
        <f t="shared" ref="N41" si="198">M41*0.21</f>
        <v>18.781455000000033</v>
      </c>
      <c r="O41" s="461">
        <f t="shared" ref="O41" si="199">M41+N41</f>
        <v>108.2169550000002</v>
      </c>
    </row>
    <row r="42" spans="1:15" x14ac:dyDescent="0.3">
      <c r="A42" s="454" t="s">
        <v>587</v>
      </c>
      <c r="B42" s="455" t="s">
        <v>700</v>
      </c>
      <c r="C42" s="456" t="s">
        <v>1655</v>
      </c>
      <c r="D42" s="457">
        <v>54.500000000000099</v>
      </c>
      <c r="E42" s="458">
        <v>0.62</v>
      </c>
      <c r="F42" s="459">
        <v>0.63</v>
      </c>
      <c r="G42" s="2">
        <f t="shared" ref="G42" si="200">D42*E42</f>
        <v>33.790000000000063</v>
      </c>
      <c r="H42" s="460">
        <f t="shared" ref="H42" si="201">G42+D42</f>
        <v>88.290000000000163</v>
      </c>
      <c r="I42" s="9">
        <f t="shared" ref="I42" si="202">H42*0.21</f>
        <v>18.540900000000033</v>
      </c>
      <c r="J42" s="461">
        <f t="shared" ref="J42" si="203">H42+I42</f>
        <v>106.8309000000002</v>
      </c>
      <c r="L42" s="153">
        <f t="shared" ref="L42" si="204">D42*F42</f>
        <v>34.335000000000065</v>
      </c>
      <c r="M42" s="460">
        <f t="shared" ref="M42" si="205">D42+L42</f>
        <v>88.835000000000164</v>
      </c>
      <c r="N42" s="9">
        <f t="shared" ref="N42" si="206">M42*0.21</f>
        <v>18.655350000000034</v>
      </c>
      <c r="O42" s="461">
        <f t="shared" ref="O42" si="207">M42+N42</f>
        <v>107.49035000000021</v>
      </c>
    </row>
    <row r="43" spans="1:15" x14ac:dyDescent="0.3">
      <c r="A43" s="454" t="s">
        <v>695</v>
      </c>
      <c r="B43" s="455" t="s">
        <v>746</v>
      </c>
      <c r="C43" s="456" t="s">
        <v>1655</v>
      </c>
      <c r="D43" s="457">
        <v>53.450000000000102</v>
      </c>
      <c r="E43" s="458">
        <v>0.64</v>
      </c>
      <c r="F43" s="459">
        <v>0.65</v>
      </c>
      <c r="G43" s="2">
        <f t="shared" ref="G43" si="208">D43*E43</f>
        <v>34.208000000000069</v>
      </c>
      <c r="H43" s="460">
        <f t="shared" ref="H43" si="209">G43+D43</f>
        <v>87.658000000000172</v>
      </c>
      <c r="I43" s="9">
        <f t="shared" ref="I43" si="210">H43*0.21</f>
        <v>18.408180000000037</v>
      </c>
      <c r="J43" s="461">
        <f t="shared" ref="J43" si="211">H43+I43</f>
        <v>106.0661800000002</v>
      </c>
      <c r="L43" s="153">
        <f t="shared" ref="L43" si="212">D43*F43</f>
        <v>34.742500000000071</v>
      </c>
      <c r="M43" s="460">
        <f t="shared" ref="M43" si="213">D43+L43</f>
        <v>88.192500000000166</v>
      </c>
      <c r="N43" s="9">
        <f t="shared" ref="N43" si="214">M43*0.21</f>
        <v>18.520425000000035</v>
      </c>
      <c r="O43" s="461">
        <f t="shared" ref="O43" si="215">M43+N43</f>
        <v>106.7129250000002</v>
      </c>
    </row>
    <row r="44" spans="1:15" x14ac:dyDescent="0.3">
      <c r="A44" s="454" t="s">
        <v>699</v>
      </c>
      <c r="B44" s="455" t="s">
        <v>749</v>
      </c>
      <c r="C44" s="456" t="s">
        <v>1655</v>
      </c>
      <c r="D44" s="457">
        <v>52.400000000000098</v>
      </c>
      <c r="E44" s="458">
        <v>0.66</v>
      </c>
      <c r="F44" s="459">
        <v>0.67</v>
      </c>
      <c r="G44" s="2">
        <f t="shared" ref="G44" si="216">D44*E44</f>
        <v>34.584000000000067</v>
      </c>
      <c r="H44" s="460">
        <f t="shared" ref="H44" si="217">G44+D44</f>
        <v>86.984000000000165</v>
      </c>
      <c r="I44" s="9">
        <f t="shared" ref="I44" si="218">H44*0.21</f>
        <v>18.266640000000034</v>
      </c>
      <c r="J44" s="461">
        <f t="shared" ref="J44" si="219">H44+I44</f>
        <v>105.2506400000002</v>
      </c>
      <c r="L44" s="153">
        <f t="shared" ref="L44" si="220">D44*F44</f>
        <v>35.108000000000068</v>
      </c>
      <c r="M44" s="460">
        <f t="shared" ref="M44" si="221">D44+L44</f>
        <v>87.508000000000166</v>
      </c>
      <c r="N44" s="9">
        <f t="shared" ref="N44" si="222">M44*0.21</f>
        <v>18.376680000000036</v>
      </c>
      <c r="O44" s="461">
        <f t="shared" ref="O44" si="223">M44+N44</f>
        <v>105.8846800000002</v>
      </c>
    </row>
    <row r="45" spans="1:15" x14ac:dyDescent="0.3">
      <c r="A45" s="454" t="s">
        <v>745</v>
      </c>
      <c r="B45" s="455" t="s">
        <v>853</v>
      </c>
      <c r="C45" s="456" t="s">
        <v>1655</v>
      </c>
      <c r="D45" s="457">
        <v>51.350000000000101</v>
      </c>
      <c r="E45" s="458">
        <v>0.68</v>
      </c>
      <c r="F45" s="459">
        <v>0.69</v>
      </c>
      <c r="G45" s="2">
        <f t="shared" ref="G45" si="224">D45*E45</f>
        <v>34.91800000000007</v>
      </c>
      <c r="H45" s="460">
        <f t="shared" ref="H45" si="225">G45+D45</f>
        <v>86.268000000000171</v>
      </c>
      <c r="I45" s="9">
        <f t="shared" ref="I45" si="226">H45*0.21</f>
        <v>18.116280000000035</v>
      </c>
      <c r="J45" s="461">
        <f t="shared" ref="J45" si="227">H45+I45</f>
        <v>104.3842800000002</v>
      </c>
      <c r="L45" s="153">
        <f t="shared" ref="L45" si="228">D45*F45</f>
        <v>35.431500000000064</v>
      </c>
      <c r="M45" s="460">
        <f t="shared" ref="M45" si="229">D45+L45</f>
        <v>86.781500000000165</v>
      </c>
      <c r="N45" s="9">
        <f t="shared" ref="N45" si="230">M45*0.21</f>
        <v>18.224115000000033</v>
      </c>
      <c r="O45" s="461">
        <f t="shared" ref="O45" si="231">M45+N45</f>
        <v>105.0056150000002</v>
      </c>
    </row>
    <row r="46" spans="1:15" x14ac:dyDescent="0.3">
      <c r="A46" s="454" t="s">
        <v>748</v>
      </c>
      <c r="B46" s="455" t="s">
        <v>920</v>
      </c>
      <c r="C46" s="456" t="s">
        <v>1655</v>
      </c>
      <c r="D46" s="457">
        <v>50.300000000000097</v>
      </c>
      <c r="E46" s="458">
        <v>0.7</v>
      </c>
      <c r="F46" s="459">
        <v>0.71</v>
      </c>
      <c r="G46" s="2">
        <f t="shared" ref="G46" si="232">D46*E46</f>
        <v>35.210000000000065</v>
      </c>
      <c r="H46" s="460">
        <f t="shared" ref="H46" si="233">G46+D46</f>
        <v>85.510000000000161</v>
      </c>
      <c r="I46" s="9">
        <f t="shared" ref="I46" si="234">H46*0.21</f>
        <v>17.957100000000032</v>
      </c>
      <c r="J46" s="461">
        <f t="shared" ref="J46" si="235">H46+I46</f>
        <v>103.46710000000019</v>
      </c>
      <c r="L46" s="153">
        <f t="shared" ref="L46" si="236">D46*F46</f>
        <v>35.713000000000065</v>
      </c>
      <c r="M46" s="460">
        <f t="shared" ref="M46" si="237">D46+L46</f>
        <v>86.013000000000162</v>
      </c>
      <c r="N46" s="9">
        <f t="shared" ref="N46" si="238">M46*0.21</f>
        <v>18.062730000000034</v>
      </c>
      <c r="O46" s="461">
        <f t="shared" ref="O46" si="239">M46+N46</f>
        <v>104.07573000000019</v>
      </c>
    </row>
    <row r="47" spans="1:15" x14ac:dyDescent="0.3">
      <c r="A47" s="454" t="s">
        <v>852</v>
      </c>
      <c r="B47" s="455" t="s">
        <v>922</v>
      </c>
      <c r="C47" s="456" t="s">
        <v>1655</v>
      </c>
      <c r="D47" s="457">
        <v>49.250000000000099</v>
      </c>
      <c r="E47" s="458">
        <v>0.72</v>
      </c>
      <c r="F47" s="459">
        <v>0.73</v>
      </c>
      <c r="G47" s="2">
        <f t="shared" ref="G47" si="240">D47*E47</f>
        <v>35.460000000000072</v>
      </c>
      <c r="H47" s="460">
        <f t="shared" ref="H47" si="241">G47+D47</f>
        <v>84.710000000000178</v>
      </c>
      <c r="I47" s="9">
        <f t="shared" ref="I47" si="242">H47*0.21</f>
        <v>17.789100000000037</v>
      </c>
      <c r="J47" s="461">
        <f t="shared" ref="J47" si="243">H47+I47</f>
        <v>102.49910000000021</v>
      </c>
      <c r="L47" s="153">
        <f t="shared" ref="L47" si="244">D47*F47</f>
        <v>35.952500000000072</v>
      </c>
      <c r="M47" s="460">
        <f t="shared" ref="M47" si="245">D47+L47</f>
        <v>85.202500000000171</v>
      </c>
      <c r="N47" s="9">
        <f t="shared" ref="N47" si="246">M47*0.21</f>
        <v>17.892525000000035</v>
      </c>
      <c r="O47" s="461">
        <f t="shared" ref="O47" si="247">M47+N47</f>
        <v>103.09502500000021</v>
      </c>
    </row>
    <row r="48" spans="1:15" x14ac:dyDescent="0.3">
      <c r="A48" s="454" t="s">
        <v>919</v>
      </c>
      <c r="B48" s="455" t="s">
        <v>979</v>
      </c>
      <c r="C48" s="456" t="s">
        <v>1655</v>
      </c>
      <c r="D48" s="457">
        <v>48.200000000000102</v>
      </c>
      <c r="E48" s="458">
        <v>0.74</v>
      </c>
      <c r="F48" s="459">
        <v>0.75</v>
      </c>
      <c r="G48" s="2">
        <f t="shared" ref="G48" si="248">D48*E48</f>
        <v>35.668000000000077</v>
      </c>
      <c r="H48" s="460">
        <f t="shared" ref="H48" si="249">G48+D48</f>
        <v>83.86800000000018</v>
      </c>
      <c r="I48" s="9">
        <f t="shared" ref="I48" si="250">H48*0.21</f>
        <v>17.612280000000037</v>
      </c>
      <c r="J48" s="461">
        <f t="shared" ref="J48" si="251">H48+I48</f>
        <v>101.48028000000022</v>
      </c>
      <c r="L48" s="153">
        <f t="shared" ref="L48" si="252">D48*F48</f>
        <v>36.150000000000077</v>
      </c>
      <c r="M48" s="460">
        <f t="shared" ref="M48" si="253">D48+L48</f>
        <v>84.350000000000179</v>
      </c>
      <c r="N48" s="9">
        <f t="shared" ref="N48" si="254">M48*0.21</f>
        <v>17.713500000000035</v>
      </c>
      <c r="O48" s="461">
        <f t="shared" ref="O48" si="255">M48+N48</f>
        <v>102.06350000000022</v>
      </c>
    </row>
    <row r="49" spans="1:15" x14ac:dyDescent="0.3">
      <c r="A49" s="454" t="s">
        <v>921</v>
      </c>
      <c r="B49" s="455" t="s">
        <v>988</v>
      </c>
      <c r="C49" s="456" t="s">
        <v>1655</v>
      </c>
      <c r="D49" s="457">
        <v>47.150000000000098</v>
      </c>
      <c r="E49" s="458">
        <v>0.76</v>
      </c>
      <c r="F49" s="459">
        <v>0.77</v>
      </c>
      <c r="G49" s="2">
        <f t="shared" ref="G49" si="256">D49*E49</f>
        <v>35.834000000000074</v>
      </c>
      <c r="H49" s="460">
        <f t="shared" ref="H49" si="257">G49+D49</f>
        <v>82.984000000000179</v>
      </c>
      <c r="I49" s="9">
        <f t="shared" ref="I49" si="258">H49*0.21</f>
        <v>17.426640000000038</v>
      </c>
      <c r="J49" s="461">
        <f t="shared" ref="J49" si="259">H49+I49</f>
        <v>100.41064000000021</v>
      </c>
      <c r="L49" s="153">
        <f t="shared" ref="L49" si="260">D49*F49</f>
        <v>36.305500000000073</v>
      </c>
      <c r="M49" s="460">
        <f t="shared" ref="M49" si="261">D49+L49</f>
        <v>83.455500000000171</v>
      </c>
      <c r="N49" s="9">
        <f t="shared" ref="N49" si="262">M49*0.21</f>
        <v>17.525655000000036</v>
      </c>
      <c r="O49" s="461">
        <f t="shared" ref="O49" si="263">M49+N49</f>
        <v>100.9811550000002</v>
      </c>
    </row>
    <row r="50" spans="1:15" x14ac:dyDescent="0.3">
      <c r="A50" s="454" t="s">
        <v>978</v>
      </c>
      <c r="B50" s="455" t="s">
        <v>990</v>
      </c>
      <c r="C50" s="456" t="s">
        <v>1655</v>
      </c>
      <c r="D50" s="457">
        <v>46.100000000000101</v>
      </c>
      <c r="E50" s="458">
        <v>0.78</v>
      </c>
      <c r="F50" s="459">
        <v>0.79</v>
      </c>
      <c r="G50" s="2">
        <f t="shared" ref="G50" si="264">D50*E50</f>
        <v>35.958000000000077</v>
      </c>
      <c r="H50" s="460">
        <f t="shared" ref="H50" si="265">G50+D50</f>
        <v>82.058000000000177</v>
      </c>
      <c r="I50" s="9">
        <f t="shared" ref="I50" si="266">H50*0.21</f>
        <v>17.232180000000035</v>
      </c>
      <c r="J50" s="461">
        <f t="shared" ref="J50" si="267">H50+I50</f>
        <v>99.29018000000022</v>
      </c>
      <c r="L50" s="153">
        <f t="shared" ref="L50" si="268">D50*F50</f>
        <v>36.419000000000082</v>
      </c>
      <c r="M50" s="460">
        <f t="shared" ref="M50" si="269">D50+L50</f>
        <v>82.519000000000176</v>
      </c>
      <c r="N50" s="9">
        <f t="shared" ref="N50" si="270">M50*0.21</f>
        <v>17.328990000000037</v>
      </c>
      <c r="O50" s="461">
        <f t="shared" ref="O50" si="271">M50+N50</f>
        <v>99.847990000000209</v>
      </c>
    </row>
    <row r="51" spans="1:15" x14ac:dyDescent="0.3">
      <c r="A51" s="454" t="s">
        <v>987</v>
      </c>
      <c r="B51" s="455" t="s">
        <v>1005</v>
      </c>
      <c r="C51" s="456" t="s">
        <v>1655</v>
      </c>
      <c r="D51" s="457">
        <v>45.050000000000097</v>
      </c>
      <c r="E51" s="458">
        <v>0.8</v>
      </c>
      <c r="F51" s="459">
        <v>0.81</v>
      </c>
      <c r="G51" s="2">
        <f t="shared" ref="G51" si="272">D51*E51</f>
        <v>36.040000000000077</v>
      </c>
      <c r="H51" s="460">
        <f t="shared" ref="H51" si="273">G51+D51</f>
        <v>81.090000000000174</v>
      </c>
      <c r="I51" s="9">
        <f t="shared" ref="I51" si="274">H51*0.21</f>
        <v>17.028900000000036</v>
      </c>
      <c r="J51" s="461">
        <f t="shared" ref="J51" si="275">H51+I51</f>
        <v>98.11890000000021</v>
      </c>
      <c r="L51" s="153">
        <f t="shared" ref="L51" si="276">D51*F51</f>
        <v>36.490500000000083</v>
      </c>
      <c r="M51" s="460">
        <f t="shared" ref="M51" si="277">D51+L51</f>
        <v>81.540500000000179</v>
      </c>
      <c r="N51" s="9">
        <f t="shared" ref="N51" si="278">M51*0.21</f>
        <v>17.123505000000037</v>
      </c>
      <c r="O51" s="461">
        <f t="shared" ref="O51" si="279">M51+N51</f>
        <v>98.664005000000216</v>
      </c>
    </row>
    <row r="52" spans="1:15" x14ac:dyDescent="0.3">
      <c r="A52" s="454" t="s">
        <v>989</v>
      </c>
      <c r="B52" s="455" t="s">
        <v>1029</v>
      </c>
      <c r="C52" s="456" t="s">
        <v>1655</v>
      </c>
      <c r="D52" s="457">
        <v>44.000000000000099</v>
      </c>
      <c r="E52" s="458">
        <v>0.82</v>
      </c>
      <c r="F52" s="459">
        <v>0.83</v>
      </c>
      <c r="G52" s="2">
        <f t="shared" ref="G52" si="280">D52*E52</f>
        <v>36.080000000000076</v>
      </c>
      <c r="H52" s="460">
        <f t="shared" ref="H52" si="281">G52+D52</f>
        <v>80.080000000000183</v>
      </c>
      <c r="I52" s="9">
        <f t="shared" ref="I52" si="282">H52*0.21</f>
        <v>16.816800000000036</v>
      </c>
      <c r="J52" s="461">
        <f t="shared" ref="J52" si="283">H52+I52</f>
        <v>96.896800000000212</v>
      </c>
      <c r="L52" s="153">
        <f t="shared" ref="L52" si="284">D52*F52</f>
        <v>36.520000000000081</v>
      </c>
      <c r="M52" s="460">
        <f t="shared" ref="M52" si="285">D52+L52</f>
        <v>80.520000000000181</v>
      </c>
      <c r="N52" s="9">
        <f t="shared" ref="N52" si="286">M52*0.21</f>
        <v>16.909200000000038</v>
      </c>
      <c r="O52" s="461">
        <f t="shared" ref="O52" si="287">M52+N52</f>
        <v>97.429200000000222</v>
      </c>
    </row>
    <row r="53" spans="1:15" x14ac:dyDescent="0.3">
      <c r="A53" s="454" t="s">
        <v>1004</v>
      </c>
      <c r="B53" s="455" t="s">
        <v>1051</v>
      </c>
      <c r="C53" s="456" t="s">
        <v>1655</v>
      </c>
      <c r="D53" s="457">
        <v>42.950000000000102</v>
      </c>
      <c r="E53" s="458">
        <v>0.84</v>
      </c>
      <c r="F53" s="459">
        <v>0.85</v>
      </c>
      <c r="G53" s="2">
        <f t="shared" ref="G53" si="288">D53*E53</f>
        <v>36.078000000000081</v>
      </c>
      <c r="H53" s="460">
        <f t="shared" ref="H53" si="289">G53+D53</f>
        <v>79.028000000000191</v>
      </c>
      <c r="I53" s="9">
        <f t="shared" ref="I53" si="290">H53*0.21</f>
        <v>16.59588000000004</v>
      </c>
      <c r="J53" s="461">
        <f t="shared" ref="J53" si="291">H53+I53</f>
        <v>95.623880000000227</v>
      </c>
      <c r="L53" s="153">
        <f t="shared" ref="L53" si="292">D53*F53</f>
        <v>36.507500000000086</v>
      </c>
      <c r="M53" s="460">
        <f t="shared" ref="M53" si="293">D53+L53</f>
        <v>79.457500000000181</v>
      </c>
      <c r="N53" s="9">
        <f t="shared" ref="N53" si="294">M53*0.21</f>
        <v>16.686075000000038</v>
      </c>
      <c r="O53" s="461">
        <f t="shared" ref="O53" si="295">M53+N53</f>
        <v>96.143575000000226</v>
      </c>
    </row>
    <row r="54" spans="1:15" x14ac:dyDescent="0.3">
      <c r="A54" s="454" t="s">
        <v>1028</v>
      </c>
      <c r="B54" s="455" t="s">
        <v>1083</v>
      </c>
      <c r="C54" s="456" t="s">
        <v>1655</v>
      </c>
      <c r="D54" s="457">
        <v>41.900000000000098</v>
      </c>
      <c r="E54" s="458">
        <v>0.86</v>
      </c>
      <c r="F54" s="459">
        <v>0.87</v>
      </c>
      <c r="G54" s="2">
        <f t="shared" ref="G54" si="296">D54*E54</f>
        <v>36.034000000000084</v>
      </c>
      <c r="H54" s="460">
        <f t="shared" ref="H54" si="297">G54+D54</f>
        <v>77.934000000000182</v>
      </c>
      <c r="I54" s="9">
        <f t="shared" ref="I54" si="298">H54*0.21</f>
        <v>16.366140000000037</v>
      </c>
      <c r="J54" s="461">
        <f t="shared" ref="J54" si="299">H54+I54</f>
        <v>94.300140000000226</v>
      </c>
      <c r="L54" s="153">
        <f t="shared" ref="L54" si="300">D54*F54</f>
        <v>36.453000000000088</v>
      </c>
      <c r="M54" s="460">
        <f t="shared" ref="M54" si="301">D54+L54</f>
        <v>78.353000000000179</v>
      </c>
      <c r="N54" s="9">
        <f t="shared" ref="N54" si="302">M54*0.21</f>
        <v>16.454130000000038</v>
      </c>
      <c r="O54" s="461">
        <f t="shared" ref="O54" si="303">M54+N54</f>
        <v>94.807130000000214</v>
      </c>
    </row>
    <row r="55" spans="1:15" x14ac:dyDescent="0.3">
      <c r="A55" s="454" t="s">
        <v>1050</v>
      </c>
      <c r="B55" s="455" t="s">
        <v>1085</v>
      </c>
      <c r="C55" s="456" t="s">
        <v>1655</v>
      </c>
      <c r="D55" s="457">
        <v>40.850000000000101</v>
      </c>
      <c r="E55" s="458">
        <v>0.88</v>
      </c>
      <c r="F55" s="459">
        <v>0.89</v>
      </c>
      <c r="G55" s="2">
        <f t="shared" ref="G55" si="304">D55*E55</f>
        <v>35.948000000000086</v>
      </c>
      <c r="H55" s="460">
        <f t="shared" ref="H55" si="305">G55+D55</f>
        <v>76.798000000000187</v>
      </c>
      <c r="I55" s="9">
        <f t="shared" ref="I55" si="306">H55*0.21</f>
        <v>16.127580000000037</v>
      </c>
      <c r="J55" s="461">
        <f t="shared" ref="J55" si="307">H55+I55</f>
        <v>92.925580000000224</v>
      </c>
      <c r="L55" s="153">
        <f t="shared" ref="L55" si="308">D55*F55</f>
        <v>36.356500000000089</v>
      </c>
      <c r="M55" s="460">
        <f t="shared" ref="M55" si="309">D55+L55</f>
        <v>77.20650000000019</v>
      </c>
      <c r="N55" s="9">
        <f t="shared" ref="N55" si="310">M55*0.21</f>
        <v>16.213365000000039</v>
      </c>
      <c r="O55" s="461">
        <f t="shared" ref="O55" si="311">M55+N55</f>
        <v>93.419865000000229</v>
      </c>
    </row>
    <row r="56" spans="1:15" x14ac:dyDescent="0.3">
      <c r="A56" s="454" t="s">
        <v>1084</v>
      </c>
      <c r="B56" s="455" t="s">
        <v>1087</v>
      </c>
      <c r="C56" s="456" t="s">
        <v>1655</v>
      </c>
      <c r="D56" s="457">
        <v>39.800000000000097</v>
      </c>
      <c r="E56" s="458">
        <v>0.9</v>
      </c>
      <c r="F56" s="459">
        <v>0.91</v>
      </c>
      <c r="G56" s="2">
        <f t="shared" ref="G56" si="312">D56*E56</f>
        <v>35.820000000000086</v>
      </c>
      <c r="H56" s="460">
        <f t="shared" ref="H56" si="313">G56+D56</f>
        <v>75.620000000000175</v>
      </c>
      <c r="I56" s="9">
        <f t="shared" ref="I56" si="314">H56*0.21</f>
        <v>15.880200000000036</v>
      </c>
      <c r="J56" s="461">
        <f t="shared" ref="J56" si="315">H56+I56</f>
        <v>91.500200000000206</v>
      </c>
      <c r="L56" s="153">
        <f t="shared" ref="L56" si="316">D56*F56</f>
        <v>36.218000000000089</v>
      </c>
      <c r="M56" s="460">
        <f t="shared" ref="M56" si="317">D56+L56</f>
        <v>76.018000000000185</v>
      </c>
      <c r="N56" s="9">
        <f t="shared" ref="N56" si="318">M56*0.21</f>
        <v>15.963780000000039</v>
      </c>
      <c r="O56" s="461">
        <f t="shared" ref="O56" si="319">M56+N56</f>
        <v>91.981780000000228</v>
      </c>
    </row>
    <row r="57" spans="1:15" x14ac:dyDescent="0.3">
      <c r="A57" s="454" t="s">
        <v>1086</v>
      </c>
      <c r="B57" s="455" t="s">
        <v>1129</v>
      </c>
      <c r="C57" s="456" t="s">
        <v>1655</v>
      </c>
      <c r="D57" s="457">
        <v>38.750000000000099</v>
      </c>
      <c r="E57" s="458">
        <v>0.92</v>
      </c>
      <c r="F57" s="459">
        <v>0.93</v>
      </c>
      <c r="G57" s="2">
        <f t="shared" ref="G57" si="320">D57*E57</f>
        <v>35.650000000000091</v>
      </c>
      <c r="H57" s="460">
        <f t="shared" ref="H57" si="321">G57+D57</f>
        <v>74.40000000000019</v>
      </c>
      <c r="I57" s="9">
        <f t="shared" ref="I57" si="322">H57*0.21</f>
        <v>15.62400000000004</v>
      </c>
      <c r="J57" s="461">
        <f t="shared" ref="J57" si="323">H57+I57</f>
        <v>90.024000000000228</v>
      </c>
      <c r="L57" s="153">
        <f t="shared" ref="L57" si="324">D57*F57</f>
        <v>36.037500000000094</v>
      </c>
      <c r="M57" s="460">
        <f t="shared" ref="M57" si="325">D57+L57</f>
        <v>74.787500000000193</v>
      </c>
      <c r="N57" s="9">
        <f t="shared" ref="N57" si="326">M57*0.21</f>
        <v>15.705375000000039</v>
      </c>
      <c r="O57" s="461">
        <f t="shared" ref="O57" si="327">M57+N57</f>
        <v>90.492875000000225</v>
      </c>
    </row>
    <row r="58" spans="1:15" x14ac:dyDescent="0.3">
      <c r="A58" s="454" t="s">
        <v>1128</v>
      </c>
      <c r="B58" s="455" t="s">
        <v>1131</v>
      </c>
      <c r="C58" s="456" t="s">
        <v>1655</v>
      </c>
      <c r="D58" s="457">
        <v>37.700000000000102</v>
      </c>
      <c r="E58" s="458">
        <v>0.94</v>
      </c>
      <c r="F58" s="459">
        <v>0.95</v>
      </c>
      <c r="G58" s="2">
        <f t="shared" ref="G58" si="328">D58*E58</f>
        <v>35.438000000000095</v>
      </c>
      <c r="H58" s="460">
        <f t="shared" ref="H58" si="329">G58+D58</f>
        <v>73.138000000000204</v>
      </c>
      <c r="I58" s="9">
        <f t="shared" ref="I58" si="330">H58*0.21</f>
        <v>15.358980000000042</v>
      </c>
      <c r="J58" s="461">
        <f t="shared" ref="J58" si="331">H58+I58</f>
        <v>88.496980000000249</v>
      </c>
      <c r="L58" s="153">
        <f t="shared" ref="L58" si="332">D58*F58</f>
        <v>35.815000000000097</v>
      </c>
      <c r="M58" s="460">
        <f t="shared" ref="M58" si="333">D58+L58</f>
        <v>73.5150000000002</v>
      </c>
      <c r="N58" s="9">
        <f t="shared" ref="N58" si="334">M58*0.21</f>
        <v>15.438150000000041</v>
      </c>
      <c r="O58" s="461">
        <f t="shared" ref="O58" si="335">M58+N58</f>
        <v>88.953150000000235</v>
      </c>
    </row>
    <row r="59" spans="1:15" x14ac:dyDescent="0.3">
      <c r="A59" s="454" t="s">
        <v>1130</v>
      </c>
      <c r="B59" s="455" t="s">
        <v>1138</v>
      </c>
      <c r="C59" s="456" t="s">
        <v>1655</v>
      </c>
      <c r="D59" s="457">
        <v>36.650000000000098</v>
      </c>
      <c r="E59" s="458">
        <v>0.96</v>
      </c>
      <c r="F59" s="459">
        <v>0.97</v>
      </c>
      <c r="G59" s="2">
        <f t="shared" ref="G59" si="336">D59*E59</f>
        <v>35.18400000000009</v>
      </c>
      <c r="H59" s="460">
        <f t="shared" ref="H59" si="337">G59+D59</f>
        <v>71.834000000000188</v>
      </c>
      <c r="I59" s="9">
        <f t="shared" ref="I59" si="338">H59*0.21</f>
        <v>15.085140000000038</v>
      </c>
      <c r="J59" s="461">
        <f t="shared" ref="J59" si="339">H59+I59</f>
        <v>86.919140000000226</v>
      </c>
      <c r="L59" s="153">
        <f t="shared" ref="L59" si="340">D59*F59</f>
        <v>35.550500000000092</v>
      </c>
      <c r="M59" s="460">
        <f t="shared" ref="M59" si="341">D59+L59</f>
        <v>72.20050000000019</v>
      </c>
      <c r="N59" s="9">
        <f t="shared" ref="N59" si="342">M59*0.21</f>
        <v>15.162105000000039</v>
      </c>
      <c r="O59" s="461">
        <f t="shared" ref="O59" si="343">M59+N59</f>
        <v>87.362605000000229</v>
      </c>
    </row>
    <row r="60" spans="1:15" x14ac:dyDescent="0.3">
      <c r="A60" s="454" t="s">
        <v>1137</v>
      </c>
      <c r="B60" s="455" t="s">
        <v>1146</v>
      </c>
      <c r="C60" s="456" t="s">
        <v>1655</v>
      </c>
      <c r="D60" s="457">
        <v>35.600000000000101</v>
      </c>
      <c r="E60" s="458">
        <v>0.98</v>
      </c>
      <c r="F60" s="459">
        <v>0.99</v>
      </c>
      <c r="G60" s="2">
        <f t="shared" ref="G60" si="344">D60*E60</f>
        <v>34.888000000000098</v>
      </c>
      <c r="H60" s="460">
        <f t="shared" ref="H60" si="345">G60+D60</f>
        <v>70.488000000000198</v>
      </c>
      <c r="I60" s="9">
        <f t="shared" ref="I60" si="346">H60*0.21</f>
        <v>14.802480000000042</v>
      </c>
      <c r="J60" s="461">
        <f t="shared" ref="J60" si="347">H60+I60</f>
        <v>85.290480000000244</v>
      </c>
      <c r="L60" s="153">
        <f t="shared" ref="L60" si="348">D60*F60</f>
        <v>35.244000000000099</v>
      </c>
      <c r="M60" s="460">
        <f t="shared" ref="M60" si="349">D60+L60</f>
        <v>70.844000000000193</v>
      </c>
      <c r="N60" s="9">
        <f t="shared" ref="N60" si="350">M60*0.21</f>
        <v>14.87724000000004</v>
      </c>
      <c r="O60" s="461">
        <f t="shared" ref="O60" si="351">M60+N60</f>
        <v>85.721240000000236</v>
      </c>
    </row>
    <row r="61" spans="1:15" x14ac:dyDescent="0.3">
      <c r="A61" s="454" t="s">
        <v>1145</v>
      </c>
      <c r="B61" s="455" t="s">
        <v>1160</v>
      </c>
      <c r="C61" s="456" t="s">
        <v>1655</v>
      </c>
      <c r="D61" s="457">
        <v>34.550000000000097</v>
      </c>
      <c r="E61" s="458">
        <v>1</v>
      </c>
      <c r="F61" s="459">
        <v>1.01</v>
      </c>
      <c r="G61" s="2">
        <f t="shared" ref="G61" si="352">D61*E61</f>
        <v>34.550000000000097</v>
      </c>
      <c r="H61" s="460">
        <f t="shared" ref="H61" si="353">G61+D61</f>
        <v>69.100000000000193</v>
      </c>
      <c r="I61" s="9">
        <f t="shared" ref="I61" si="354">H61*0.21</f>
        <v>14.51100000000004</v>
      </c>
      <c r="J61" s="461">
        <f t="shared" ref="J61" si="355">H61+I61</f>
        <v>83.611000000000232</v>
      </c>
      <c r="L61" s="153">
        <f t="shared" ref="L61" si="356">D61*F61</f>
        <v>34.895500000000098</v>
      </c>
      <c r="M61" s="460">
        <f t="shared" ref="M61" si="357">D61+L61</f>
        <v>69.445500000000195</v>
      </c>
      <c r="N61" s="9">
        <f t="shared" ref="N61" si="358">M61*0.21</f>
        <v>14.58355500000004</v>
      </c>
      <c r="O61" s="461">
        <f t="shared" ref="O61" si="359">M61+N61</f>
        <v>84.029055000000227</v>
      </c>
    </row>
    <row r="62" spans="1:15" x14ac:dyDescent="0.3">
      <c r="A62" s="454" t="s">
        <v>1159</v>
      </c>
      <c r="B62" s="455" t="s">
        <v>1171</v>
      </c>
      <c r="C62" s="456" t="s">
        <v>1655</v>
      </c>
      <c r="D62" s="457">
        <v>33.500000000000099</v>
      </c>
      <c r="E62" s="458">
        <v>1.02</v>
      </c>
      <c r="F62" s="459">
        <v>1.03</v>
      </c>
      <c r="G62" s="2">
        <f t="shared" ref="G62" si="360">D62*E62</f>
        <v>34.170000000000101</v>
      </c>
      <c r="H62" s="460">
        <f t="shared" ref="H62" si="361">G62+D62</f>
        <v>67.670000000000201</v>
      </c>
      <c r="I62" s="9">
        <f t="shared" ref="I62" si="362">H62*0.21</f>
        <v>14.210700000000042</v>
      </c>
      <c r="J62" s="461">
        <f t="shared" ref="J62" si="363">H62+I62</f>
        <v>81.880700000000246</v>
      </c>
      <c r="L62" s="153">
        <f t="shared" ref="L62" si="364">D62*F62</f>
        <v>34.505000000000102</v>
      </c>
      <c r="M62" s="460">
        <f t="shared" ref="M62" si="365">D62+L62</f>
        <v>68.005000000000194</v>
      </c>
      <c r="N62" s="9">
        <f t="shared" ref="N62" si="366">M62*0.21</f>
        <v>14.28105000000004</v>
      </c>
      <c r="O62" s="461">
        <f t="shared" ref="O62" si="367">M62+N62</f>
        <v>82.28605000000023</v>
      </c>
    </row>
    <row r="63" spans="1:15" x14ac:dyDescent="0.3">
      <c r="A63" s="454" t="s">
        <v>1170</v>
      </c>
      <c r="B63" s="455" t="s">
        <v>1208</v>
      </c>
      <c r="C63" s="456" t="s">
        <v>1655</v>
      </c>
      <c r="D63" s="457">
        <v>32.450000000000102</v>
      </c>
      <c r="E63" s="458">
        <v>1.04</v>
      </c>
      <c r="F63" s="459">
        <v>1.05</v>
      </c>
      <c r="G63" s="2">
        <f t="shared" ref="G63" si="368">D63*E63</f>
        <v>33.748000000000104</v>
      </c>
      <c r="H63" s="460">
        <f t="shared" ref="H63" si="369">G63+D63</f>
        <v>66.198000000000206</v>
      </c>
      <c r="I63" s="9">
        <f t="shared" ref="I63" si="370">H63*0.21</f>
        <v>13.901580000000044</v>
      </c>
      <c r="J63" s="461">
        <f t="shared" ref="J63" si="371">H63+I63</f>
        <v>80.099580000000245</v>
      </c>
      <c r="L63" s="153">
        <f t="shared" ref="L63" si="372">D63*F63</f>
        <v>34.072500000000112</v>
      </c>
      <c r="M63" s="460">
        <f t="shared" ref="M63" si="373">D63+L63</f>
        <v>66.522500000000207</v>
      </c>
      <c r="N63" s="9">
        <f t="shared" ref="N63" si="374">M63*0.21</f>
        <v>13.969725000000043</v>
      </c>
      <c r="O63" s="461">
        <f t="shared" ref="O63" si="375">M63+N63</f>
        <v>80.492225000000246</v>
      </c>
    </row>
    <row r="64" spans="1:15" x14ac:dyDescent="0.3">
      <c r="A64" s="454" t="s">
        <v>1207</v>
      </c>
      <c r="B64" s="455" t="s">
        <v>1213</v>
      </c>
      <c r="C64" s="456" t="s">
        <v>1655</v>
      </c>
      <c r="D64" s="457">
        <v>31.400000000000102</v>
      </c>
      <c r="E64" s="458">
        <v>1.06</v>
      </c>
      <c r="F64" s="459">
        <v>1.07</v>
      </c>
      <c r="G64" s="2">
        <f t="shared" ref="G64" si="376">D64*E64</f>
        <v>33.284000000000113</v>
      </c>
      <c r="H64" s="460">
        <f t="shared" ref="H64" si="377">G64+D64</f>
        <v>64.684000000000211</v>
      </c>
      <c r="I64" s="9">
        <f t="shared" ref="I64" si="378">H64*0.21</f>
        <v>13.583640000000043</v>
      </c>
      <c r="J64" s="461">
        <f t="shared" ref="J64" si="379">H64+I64</f>
        <v>78.267640000000256</v>
      </c>
      <c r="L64" s="153">
        <f t="shared" ref="L64" si="380">D64*F64</f>
        <v>33.598000000000113</v>
      </c>
      <c r="M64" s="460">
        <f t="shared" ref="M64" si="381">D64+L64</f>
        <v>64.998000000000218</v>
      </c>
      <c r="N64" s="9">
        <f t="shared" ref="N64" si="382">M64*0.21</f>
        <v>13.649580000000045</v>
      </c>
      <c r="O64" s="461">
        <f t="shared" ref="O64" si="383">M64+N64</f>
        <v>78.647580000000261</v>
      </c>
    </row>
    <row r="65" spans="1:15" x14ac:dyDescent="0.3">
      <c r="A65" s="454" t="s">
        <v>1212</v>
      </c>
      <c r="B65" s="455" t="s">
        <v>1239</v>
      </c>
      <c r="C65" s="456" t="s">
        <v>1655</v>
      </c>
      <c r="D65" s="457">
        <v>30.3500000000002</v>
      </c>
      <c r="E65" s="458">
        <v>1.08</v>
      </c>
      <c r="F65" s="459">
        <v>1.0900000000000001</v>
      </c>
      <c r="G65" s="2">
        <f t="shared" ref="G65" si="384">D65*E65</f>
        <v>32.778000000000219</v>
      </c>
      <c r="H65" s="460">
        <f t="shared" ref="H65" si="385">G65+D65</f>
        <v>63.128000000000419</v>
      </c>
      <c r="I65" s="9">
        <f t="shared" ref="I65" si="386">H65*0.21</f>
        <v>13.256880000000088</v>
      </c>
      <c r="J65" s="461">
        <f t="shared" ref="J65" si="387">H65+I65</f>
        <v>76.384880000000507</v>
      </c>
      <c r="L65" s="153">
        <f t="shared" ref="L65" si="388">D65*F65</f>
        <v>33.081500000000219</v>
      </c>
      <c r="M65" s="460">
        <f t="shared" ref="M65" si="389">D65+L65</f>
        <v>63.431500000000419</v>
      </c>
      <c r="N65" s="9">
        <f t="shared" ref="N65" si="390">M65*0.21</f>
        <v>13.320615000000087</v>
      </c>
      <c r="O65" s="461">
        <f t="shared" ref="O65" si="391">M65+N65</f>
        <v>76.752115000000501</v>
      </c>
    </row>
    <row r="66" spans="1:15" x14ac:dyDescent="0.3">
      <c r="A66" s="454" t="s">
        <v>1238</v>
      </c>
      <c r="B66" s="455" t="s">
        <v>1268</v>
      </c>
      <c r="C66" s="456" t="s">
        <v>1655</v>
      </c>
      <c r="D66" s="457">
        <v>29.3000000000002</v>
      </c>
      <c r="E66" s="458">
        <v>1.1000000000000001</v>
      </c>
      <c r="F66" s="459">
        <v>1.1100000000000001</v>
      </c>
      <c r="G66" s="2">
        <f t="shared" ref="G66" si="392">D66*E66</f>
        <v>32.230000000000224</v>
      </c>
      <c r="H66" s="460">
        <f t="shared" ref="H66" si="393">G66+D66</f>
        <v>61.530000000000427</v>
      </c>
      <c r="I66" s="9">
        <f t="shared" ref="I66" si="394">H66*0.21</f>
        <v>12.921300000000089</v>
      </c>
      <c r="J66" s="461">
        <f t="shared" ref="J66" si="395">H66+I66</f>
        <v>74.451300000000515</v>
      </c>
      <c r="L66" s="153">
        <f t="shared" ref="L66" si="396">D66*F66</f>
        <v>32.523000000000224</v>
      </c>
      <c r="M66" s="460">
        <f t="shared" ref="M66" si="397">D66+L66</f>
        <v>61.82300000000042</v>
      </c>
      <c r="N66" s="9">
        <f t="shared" ref="N66" si="398">M66*0.21</f>
        <v>12.982830000000087</v>
      </c>
      <c r="O66" s="461">
        <f t="shared" ref="O66" si="399">M66+N66</f>
        <v>74.805830000000512</v>
      </c>
    </row>
    <row r="67" spans="1:15" x14ac:dyDescent="0.3">
      <c r="A67" s="454" t="s">
        <v>1267</v>
      </c>
      <c r="B67" s="455" t="s">
        <v>1283</v>
      </c>
      <c r="C67" s="456" t="s">
        <v>1655</v>
      </c>
      <c r="D67" s="457">
        <v>28.250000000000199</v>
      </c>
      <c r="E67" s="458">
        <v>1.1200000000000001</v>
      </c>
      <c r="F67" s="459">
        <v>1.1299999999999999</v>
      </c>
      <c r="G67" s="2">
        <f t="shared" ref="G67" si="400">D67*E67</f>
        <v>31.640000000000224</v>
      </c>
      <c r="H67" s="460">
        <f t="shared" ref="H67" si="401">G67+D67</f>
        <v>59.890000000000427</v>
      </c>
      <c r="I67" s="9">
        <f t="shared" ref="I67" si="402">H67*0.21</f>
        <v>12.576900000000089</v>
      </c>
      <c r="J67" s="461">
        <f t="shared" ref="J67" si="403">H67+I67</f>
        <v>72.466900000000521</v>
      </c>
      <c r="L67" s="153">
        <f t="shared" ref="L67" si="404">D67*F67</f>
        <v>31.922500000000223</v>
      </c>
      <c r="M67" s="460">
        <f t="shared" ref="M67" si="405">D67+L67</f>
        <v>60.172500000000426</v>
      </c>
      <c r="N67" s="9">
        <f t="shared" ref="N67" si="406">M67*0.21</f>
        <v>12.636225000000088</v>
      </c>
      <c r="O67" s="461">
        <f t="shared" ref="O67" si="407">M67+N67</f>
        <v>72.808725000000521</v>
      </c>
    </row>
    <row r="68" spans="1:15" x14ac:dyDescent="0.3">
      <c r="A68" s="454" t="s">
        <v>1282</v>
      </c>
      <c r="B68" s="455" t="s">
        <v>1289</v>
      </c>
      <c r="C68" s="456" t="s">
        <v>1655</v>
      </c>
      <c r="D68" s="457">
        <v>27.200000000000198</v>
      </c>
      <c r="E68" s="458">
        <v>1.1399999999999999</v>
      </c>
      <c r="F68" s="459">
        <v>1.1499999999999999</v>
      </c>
      <c r="G68" s="2">
        <f t="shared" ref="G68" si="408">D68*E68</f>
        <v>31.008000000000223</v>
      </c>
      <c r="H68" s="460">
        <f t="shared" ref="H68" si="409">G68+D68</f>
        <v>58.208000000000425</v>
      </c>
      <c r="I68" s="9">
        <f t="shared" ref="I68" si="410">H68*0.21</f>
        <v>12.223680000000089</v>
      </c>
      <c r="J68" s="461">
        <f t="shared" ref="J68" si="411">H68+I68</f>
        <v>70.431680000000512</v>
      </c>
      <c r="L68" s="153">
        <f t="shared" ref="L68" si="412">D68*F68</f>
        <v>31.280000000000225</v>
      </c>
      <c r="M68" s="460">
        <f t="shared" ref="M68" si="413">D68+L68</f>
        <v>58.480000000000423</v>
      </c>
      <c r="N68" s="9">
        <f t="shared" ref="N68" si="414">M68*0.21</f>
        <v>12.280800000000088</v>
      </c>
      <c r="O68" s="461">
        <f t="shared" ref="O68" si="415">M68+N68</f>
        <v>70.760800000000515</v>
      </c>
    </row>
    <row r="69" spans="1:15" x14ac:dyDescent="0.3">
      <c r="A69" s="454" t="s">
        <v>1288</v>
      </c>
      <c r="B69" s="455" t="s">
        <v>1291</v>
      </c>
      <c r="C69" s="456" t="s">
        <v>1655</v>
      </c>
      <c r="D69" s="457">
        <v>26.150000000000201</v>
      </c>
      <c r="E69" s="458">
        <v>1.1599999999999999</v>
      </c>
      <c r="F69" s="459">
        <v>1.17</v>
      </c>
      <c r="G69" s="2">
        <f t="shared" ref="G69" si="416">D69*E69</f>
        <v>30.334000000000231</v>
      </c>
      <c r="H69" s="460">
        <f t="shared" ref="H69" si="417">G69+D69</f>
        <v>56.484000000000435</v>
      </c>
      <c r="I69" s="9">
        <f t="shared" ref="I69" si="418">H69*0.21</f>
        <v>11.86164000000009</v>
      </c>
      <c r="J69" s="461">
        <f t="shared" ref="J69" si="419">H69+I69</f>
        <v>68.345640000000529</v>
      </c>
      <c r="L69" s="153">
        <f t="shared" ref="L69" si="420">D69*F69</f>
        <v>30.595500000000232</v>
      </c>
      <c r="M69" s="460">
        <f t="shared" ref="M69" si="421">D69+L69</f>
        <v>56.745500000000433</v>
      </c>
      <c r="N69" s="9">
        <f t="shared" ref="N69" si="422">M69*0.21</f>
        <v>11.916555000000091</v>
      </c>
      <c r="O69" s="461">
        <f t="shared" ref="O69" si="423">M69+N69</f>
        <v>68.662055000000521</v>
      </c>
    </row>
    <row r="70" spans="1:15" x14ac:dyDescent="0.3">
      <c r="A70" s="454" t="s">
        <v>1290</v>
      </c>
      <c r="B70" s="455" t="s">
        <v>1293</v>
      </c>
      <c r="C70" s="456" t="s">
        <v>1655</v>
      </c>
      <c r="D70" s="457">
        <v>25.1000000000002</v>
      </c>
      <c r="E70" s="458">
        <v>1.18</v>
      </c>
      <c r="F70" s="459">
        <v>1.19</v>
      </c>
      <c r="G70" s="2">
        <f t="shared" ref="G70" si="424">D70*E70</f>
        <v>29.618000000000237</v>
      </c>
      <c r="H70" s="460">
        <f t="shared" ref="H70" si="425">G70+D70</f>
        <v>54.718000000000437</v>
      </c>
      <c r="I70" s="9">
        <f t="shared" ref="I70" si="426">H70*0.21</f>
        <v>11.490780000000091</v>
      </c>
      <c r="J70" s="461">
        <f t="shared" ref="J70" si="427">H70+I70</f>
        <v>66.20878000000053</v>
      </c>
      <c r="L70" s="153">
        <f t="shared" ref="L70" si="428">D70*F70</f>
        <v>29.869000000000238</v>
      </c>
      <c r="M70" s="460">
        <f t="shared" ref="M70" si="429">D70+L70</f>
        <v>54.969000000000435</v>
      </c>
      <c r="N70" s="9">
        <f t="shared" ref="N70" si="430">M70*0.21</f>
        <v>11.543490000000091</v>
      </c>
      <c r="O70" s="461">
        <f t="shared" ref="O70" si="431">M70+N70</f>
        <v>66.512490000000525</v>
      </c>
    </row>
    <row r="71" spans="1:15" x14ac:dyDescent="0.3">
      <c r="A71" s="454" t="s">
        <v>1292</v>
      </c>
      <c r="B71" s="455" t="s">
        <v>1328</v>
      </c>
      <c r="C71" s="456" t="s">
        <v>1655</v>
      </c>
      <c r="D71" s="457">
        <v>24.0500000000002</v>
      </c>
      <c r="E71" s="458">
        <v>1.2</v>
      </c>
      <c r="F71" s="459">
        <v>1.21</v>
      </c>
      <c r="G71" s="2">
        <f t="shared" ref="G71" si="432">D71*E71</f>
        <v>28.860000000000237</v>
      </c>
      <c r="H71" s="460">
        <f t="shared" ref="H71" si="433">G71+D71</f>
        <v>52.910000000000437</v>
      </c>
      <c r="I71" s="9">
        <f t="shared" ref="I71" si="434">H71*0.21</f>
        <v>11.111100000000091</v>
      </c>
      <c r="J71" s="461">
        <f t="shared" ref="J71" si="435">H71+I71</f>
        <v>64.02110000000053</v>
      </c>
      <c r="L71" s="153">
        <f t="shared" ref="L71" si="436">D71*F71</f>
        <v>29.100500000000242</v>
      </c>
      <c r="M71" s="460">
        <f t="shared" ref="M71" si="437">D71+L71</f>
        <v>53.150500000000442</v>
      </c>
      <c r="N71" s="9">
        <f t="shared" ref="N71" si="438">M71*0.21</f>
        <v>11.161605000000092</v>
      </c>
      <c r="O71" s="461">
        <f t="shared" ref="O71" si="439">M71+N71</f>
        <v>64.312105000000528</v>
      </c>
    </row>
    <row r="72" spans="1:15" x14ac:dyDescent="0.3">
      <c r="A72" s="454" t="s">
        <v>1327</v>
      </c>
      <c r="B72" s="455" t="s">
        <v>1349</v>
      </c>
      <c r="C72" s="456" t="s">
        <v>1655</v>
      </c>
      <c r="D72" s="457">
        <v>23.000000000000199</v>
      </c>
      <c r="E72" s="458">
        <v>1.22</v>
      </c>
      <c r="F72" s="459">
        <v>1.23</v>
      </c>
      <c r="G72" s="2">
        <f t="shared" ref="G72" si="440">D72*E72</f>
        <v>28.060000000000244</v>
      </c>
      <c r="H72" s="460">
        <f t="shared" ref="H72" si="441">G72+D72</f>
        <v>51.060000000000443</v>
      </c>
      <c r="I72" s="9">
        <f t="shared" ref="I72" si="442">H72*0.21</f>
        <v>10.722600000000092</v>
      </c>
      <c r="J72" s="461">
        <f t="shared" ref="J72" si="443">H72+I72</f>
        <v>61.782600000000535</v>
      </c>
      <c r="L72" s="153">
        <f t="shared" ref="L72" si="444">D72*F72</f>
        <v>28.290000000000244</v>
      </c>
      <c r="M72" s="460">
        <f t="shared" ref="M72" si="445">D72+L72</f>
        <v>51.290000000000447</v>
      </c>
      <c r="N72" s="9">
        <f t="shared" ref="N72" si="446">M72*0.21</f>
        <v>10.770900000000093</v>
      </c>
      <c r="O72" s="461">
        <f t="shared" ref="O72" si="447">M72+N72</f>
        <v>62.060900000000544</v>
      </c>
    </row>
    <row r="73" spans="1:15" x14ac:dyDescent="0.3">
      <c r="A73" s="454" t="s">
        <v>1348</v>
      </c>
      <c r="B73" s="455" t="s">
        <v>1391</v>
      </c>
      <c r="C73" s="456" t="s">
        <v>1655</v>
      </c>
      <c r="D73" s="457">
        <v>21.950000000000198</v>
      </c>
      <c r="E73" s="458">
        <v>1.24</v>
      </c>
      <c r="F73" s="459">
        <v>1.25</v>
      </c>
      <c r="G73" s="2">
        <f t="shared" ref="G73" si="448">D73*E73</f>
        <v>27.218000000000245</v>
      </c>
      <c r="H73" s="460">
        <f t="shared" ref="H73" si="449">G73+D73</f>
        <v>49.168000000000447</v>
      </c>
      <c r="I73" s="9">
        <f t="shared" ref="I73" si="450">H73*0.21</f>
        <v>10.325280000000093</v>
      </c>
      <c r="J73" s="461">
        <f t="shared" ref="J73" si="451">H73+I73</f>
        <v>59.493280000000539</v>
      </c>
      <c r="L73" s="153">
        <f t="shared" ref="L73" si="452">D73*F73</f>
        <v>27.437500000000249</v>
      </c>
      <c r="M73" s="460">
        <f t="shared" ref="M73" si="453">D73+L73</f>
        <v>49.387500000000443</v>
      </c>
      <c r="N73" s="9">
        <f t="shared" ref="N73" si="454">M73*0.21</f>
        <v>10.371375000000093</v>
      </c>
      <c r="O73" s="461">
        <f t="shared" ref="O73" si="455">M73+N73</f>
        <v>59.758875000000536</v>
      </c>
    </row>
    <row r="74" spans="1:15" x14ac:dyDescent="0.3">
      <c r="A74" s="454" t="s">
        <v>1390</v>
      </c>
      <c r="B74" s="455" t="s">
        <v>1393</v>
      </c>
      <c r="C74" s="456" t="s">
        <v>1655</v>
      </c>
      <c r="D74" s="457">
        <v>20.900000000000201</v>
      </c>
      <c r="E74" s="458">
        <v>1.26</v>
      </c>
      <c r="F74" s="459">
        <v>1.27</v>
      </c>
      <c r="G74" s="2">
        <f t="shared" ref="G74" si="456">D74*E74</f>
        <v>26.334000000000252</v>
      </c>
      <c r="H74" s="460">
        <f t="shared" ref="H74" si="457">G74+D74</f>
        <v>47.234000000000449</v>
      </c>
      <c r="I74" s="9">
        <f t="shared" ref="I74" si="458">H74*0.21</f>
        <v>9.9191400000000947</v>
      </c>
      <c r="J74" s="461">
        <f t="shared" ref="J74" si="459">H74+I74</f>
        <v>57.153140000000548</v>
      </c>
      <c r="L74" s="153">
        <f t="shared" ref="L74" si="460">D74*F74</f>
        <v>26.543000000000255</v>
      </c>
      <c r="M74" s="460">
        <f t="shared" ref="M74" si="461">D74+L74</f>
        <v>47.443000000000453</v>
      </c>
      <c r="N74" s="9">
        <f t="shared" ref="N74" si="462">M74*0.21</f>
        <v>9.963030000000094</v>
      </c>
      <c r="O74" s="461">
        <f t="shared" ref="O74" si="463">M74+N74</f>
        <v>57.406030000000548</v>
      </c>
    </row>
    <row r="75" spans="1:15" x14ac:dyDescent="0.3">
      <c r="A75" s="454" t="s">
        <v>1392</v>
      </c>
      <c r="B75" s="455" t="s">
        <v>1395</v>
      </c>
      <c r="C75" s="456" t="s">
        <v>1655</v>
      </c>
      <c r="D75" s="457">
        <v>19.8500000000002</v>
      </c>
      <c r="E75" s="458">
        <v>1.28</v>
      </c>
      <c r="F75" s="459">
        <v>1.29</v>
      </c>
      <c r="G75" s="2">
        <f t="shared" ref="G75" si="464">D75*E75</f>
        <v>25.408000000000257</v>
      </c>
      <c r="H75" s="460">
        <f t="shared" ref="H75" si="465">G75+D75</f>
        <v>45.258000000000457</v>
      </c>
      <c r="I75" s="9">
        <f t="shared" ref="I75" si="466">H75*0.21</f>
        <v>9.5041800000000958</v>
      </c>
      <c r="J75" s="461">
        <f t="shared" ref="J75" si="467">H75+I75</f>
        <v>54.762180000000555</v>
      </c>
      <c r="L75" s="153">
        <f t="shared" ref="L75" si="468">D75*F75</f>
        <v>25.60650000000026</v>
      </c>
      <c r="M75" s="460">
        <f t="shared" ref="M75" si="469">D75+L75</f>
        <v>45.45650000000046</v>
      </c>
      <c r="N75" s="9">
        <f t="shared" ref="N75" si="470">M75*0.21</f>
        <v>9.5458650000000969</v>
      </c>
      <c r="O75" s="461">
        <f t="shared" ref="O75" si="471">M75+N75</f>
        <v>55.002365000000559</v>
      </c>
    </row>
    <row r="76" spans="1:15" x14ac:dyDescent="0.3">
      <c r="A76" s="454" t="s">
        <v>1394</v>
      </c>
      <c r="B76" s="455" t="s">
        <v>1411</v>
      </c>
      <c r="C76" s="456" t="s">
        <v>1655</v>
      </c>
      <c r="D76" s="457">
        <v>18.8000000000002</v>
      </c>
      <c r="E76" s="458">
        <v>1.3</v>
      </c>
      <c r="F76" s="459">
        <v>1.31</v>
      </c>
      <c r="G76" s="2">
        <f t="shared" ref="G76" si="472">D76*E76</f>
        <v>24.440000000000261</v>
      </c>
      <c r="H76" s="460">
        <f t="shared" ref="H76" si="473">G76+D76</f>
        <v>43.240000000000464</v>
      </c>
      <c r="I76" s="9">
        <f t="shared" ref="I76" si="474">H76*0.21</f>
        <v>9.0804000000000968</v>
      </c>
      <c r="J76" s="461">
        <f t="shared" ref="J76" si="475">H76+I76</f>
        <v>52.320400000000561</v>
      </c>
      <c r="L76" s="153">
        <f t="shared" ref="L76" si="476">D76*F76</f>
        <v>24.628000000000263</v>
      </c>
      <c r="M76" s="460">
        <f t="shared" ref="M76" si="477">D76+L76</f>
        <v>43.428000000000466</v>
      </c>
      <c r="N76" s="9">
        <f t="shared" ref="N76" si="478">M76*0.21</f>
        <v>9.1198800000000979</v>
      </c>
      <c r="O76" s="461">
        <f t="shared" ref="O76" si="479">M76+N76</f>
        <v>52.547880000000561</v>
      </c>
    </row>
    <row r="77" spans="1:15" x14ac:dyDescent="0.3">
      <c r="A77" s="454" t="s">
        <v>1410</v>
      </c>
      <c r="B77" s="455" t="s">
        <v>1414</v>
      </c>
      <c r="C77" s="456" t="s">
        <v>1655</v>
      </c>
      <c r="D77" s="457">
        <v>17.750000000000199</v>
      </c>
      <c r="E77" s="458">
        <v>1.32</v>
      </c>
      <c r="F77" s="459">
        <v>1.33</v>
      </c>
      <c r="G77" s="2">
        <f t="shared" ref="G77" si="480">D77*E77</f>
        <v>23.430000000000263</v>
      </c>
      <c r="H77" s="460">
        <f t="shared" ref="H77" si="481">G77+D77</f>
        <v>41.180000000000462</v>
      </c>
      <c r="I77" s="9">
        <f t="shared" ref="I77" si="482">H77*0.21</f>
        <v>8.6478000000000961</v>
      </c>
      <c r="J77" s="461">
        <f t="shared" ref="J77" si="483">H77+I77</f>
        <v>49.827800000000558</v>
      </c>
      <c r="L77" s="153">
        <f t="shared" ref="L77" si="484">D77*F77</f>
        <v>23.607500000000265</v>
      </c>
      <c r="M77" s="460">
        <f t="shared" ref="M77" si="485">D77+L77</f>
        <v>41.357500000000464</v>
      </c>
      <c r="N77" s="9">
        <f t="shared" ref="N77" si="486">M77*0.21</f>
        <v>8.6850750000000971</v>
      </c>
      <c r="O77" s="461">
        <f t="shared" ref="O77" si="487">M77+N77</f>
        <v>50.042575000000561</v>
      </c>
    </row>
    <row r="78" spans="1:15" x14ac:dyDescent="0.3">
      <c r="A78" s="454" t="s">
        <v>1413</v>
      </c>
      <c r="B78" s="455" t="s">
        <v>1416</v>
      </c>
      <c r="C78" s="456" t="s">
        <v>1655</v>
      </c>
      <c r="D78" s="457">
        <v>16.700000000000198</v>
      </c>
      <c r="E78" s="458">
        <v>1.34</v>
      </c>
      <c r="F78" s="459">
        <v>1.35</v>
      </c>
      <c r="G78" s="2">
        <f t="shared" ref="G78" si="488">D78*E78</f>
        <v>22.378000000000267</v>
      </c>
      <c r="H78" s="460">
        <f t="shared" ref="H78" si="489">G78+D78</f>
        <v>39.078000000000465</v>
      </c>
      <c r="I78" s="9">
        <f t="shared" ref="I78" si="490">H78*0.21</f>
        <v>8.206380000000097</v>
      </c>
      <c r="J78" s="461">
        <f t="shared" ref="J78" si="491">H78+I78</f>
        <v>47.28438000000056</v>
      </c>
      <c r="L78" s="153">
        <f t="shared" ref="L78" si="492">D78*F78</f>
        <v>22.545000000000268</v>
      </c>
      <c r="M78" s="460">
        <f t="shared" ref="M78" si="493">D78+L78</f>
        <v>39.245000000000466</v>
      </c>
      <c r="N78" s="9">
        <f t="shared" ref="N78" si="494">M78*0.21</f>
        <v>8.2414500000000981</v>
      </c>
      <c r="O78" s="461">
        <f t="shared" ref="O78" si="495">M78+N78</f>
        <v>47.486450000000566</v>
      </c>
    </row>
    <row r="79" spans="1:15" x14ac:dyDescent="0.3">
      <c r="A79" s="454" t="s">
        <v>1415</v>
      </c>
      <c r="B79" s="455" t="s">
        <v>1464</v>
      </c>
      <c r="C79" s="456" t="s">
        <v>1655</v>
      </c>
      <c r="D79" s="457">
        <v>15.650000000000199</v>
      </c>
      <c r="E79" s="458">
        <v>1.36</v>
      </c>
      <c r="F79" s="459">
        <v>1.37</v>
      </c>
      <c r="G79" s="2">
        <f t="shared" ref="G79" si="496">D79*E79</f>
        <v>21.284000000000272</v>
      </c>
      <c r="H79" s="460">
        <f t="shared" ref="H79" si="497">G79+D79</f>
        <v>36.934000000000474</v>
      </c>
      <c r="I79" s="9">
        <f t="shared" ref="I79" si="498">H79*0.21</f>
        <v>7.7561400000000988</v>
      </c>
      <c r="J79" s="461">
        <f t="shared" ref="J79" si="499">H79+I79</f>
        <v>44.690140000000575</v>
      </c>
      <c r="L79" s="153">
        <f t="shared" ref="L79" si="500">D79*F79</f>
        <v>21.440500000000274</v>
      </c>
      <c r="M79" s="460">
        <f t="shared" ref="M79" si="501">D79+L79</f>
        <v>37.090500000000475</v>
      </c>
      <c r="N79" s="9">
        <f t="shared" ref="N79" si="502">M79*0.21</f>
        <v>7.789005000000099</v>
      </c>
      <c r="O79" s="461">
        <f t="shared" ref="O79" si="503">M79+N79</f>
        <v>44.879505000000577</v>
      </c>
    </row>
    <row r="80" spans="1:15" x14ac:dyDescent="0.3">
      <c r="A80" s="454" t="s">
        <v>1463</v>
      </c>
      <c r="B80" s="455" t="s">
        <v>1611</v>
      </c>
      <c r="C80" s="456" t="s">
        <v>1655</v>
      </c>
      <c r="D80" s="457">
        <v>14.6000000000002</v>
      </c>
      <c r="E80" s="458">
        <v>1.38</v>
      </c>
      <c r="F80" s="459">
        <v>1.39</v>
      </c>
      <c r="G80" s="2">
        <f t="shared" ref="G80" si="504">D80*E80</f>
        <v>20.148000000000273</v>
      </c>
      <c r="H80" s="460">
        <f t="shared" ref="H80" si="505">G80+D80</f>
        <v>34.748000000000474</v>
      </c>
      <c r="I80" s="9">
        <f t="shared" ref="I80" si="506">H80*0.21</f>
        <v>7.2970800000000988</v>
      </c>
      <c r="J80" s="461">
        <f t="shared" ref="J80" si="507">H80+I80</f>
        <v>42.045080000000574</v>
      </c>
      <c r="L80" s="153">
        <f t="shared" ref="L80" si="508">D80*F80</f>
        <v>20.294000000000278</v>
      </c>
      <c r="M80" s="460">
        <f t="shared" ref="M80" si="509">D80+L80</f>
        <v>34.894000000000474</v>
      </c>
      <c r="N80" s="9">
        <f t="shared" ref="N80" si="510">M80*0.21</f>
        <v>7.327740000000099</v>
      </c>
      <c r="O80" s="461">
        <f t="shared" ref="O80" si="511">M80+N80</f>
        <v>42.221740000000572</v>
      </c>
    </row>
    <row r="81" spans="1:15" x14ac:dyDescent="0.3">
      <c r="A81" s="454" t="s">
        <v>1493</v>
      </c>
      <c r="B81" s="455" t="s">
        <v>1495</v>
      </c>
      <c r="C81" s="456" t="s">
        <v>1655</v>
      </c>
      <c r="D81" s="457">
        <v>13.5500000000002</v>
      </c>
      <c r="E81" s="458">
        <v>1.4</v>
      </c>
      <c r="F81" s="459">
        <v>1.41</v>
      </c>
      <c r="G81" s="2">
        <f t="shared" ref="G81:G88" si="512">D81*E81</f>
        <v>18.97000000000028</v>
      </c>
      <c r="H81" s="460">
        <f t="shared" ref="H81:H88" si="513">G81+D81</f>
        <v>32.520000000000479</v>
      </c>
      <c r="I81" s="9">
        <f t="shared" ref="I81:I88" si="514">H81*0.21</f>
        <v>6.8292000000001005</v>
      </c>
      <c r="J81" s="461">
        <f t="shared" ref="J81:J88" si="515">H81+I81</f>
        <v>39.349200000000579</v>
      </c>
      <c r="L81" s="153">
        <f t="shared" ref="L81:L88" si="516">D81*F81</f>
        <v>19.10550000000028</v>
      </c>
      <c r="M81" s="460">
        <f t="shared" ref="M81:M88" si="517">D81+L81</f>
        <v>32.65550000000048</v>
      </c>
      <c r="N81" s="9">
        <f t="shared" ref="N81:N88" si="518">M81*0.21</f>
        <v>6.8576550000001006</v>
      </c>
      <c r="O81" s="461">
        <f t="shared" ref="O81:O88" si="519">M81+N81</f>
        <v>39.51315500000058</v>
      </c>
    </row>
    <row r="82" spans="1:15" x14ac:dyDescent="0.3">
      <c r="A82" s="454" t="s">
        <v>1494</v>
      </c>
      <c r="B82" s="504" t="s">
        <v>550</v>
      </c>
      <c r="C82" s="456" t="s">
        <v>1655</v>
      </c>
      <c r="D82" s="457">
        <v>12.500000000000201</v>
      </c>
      <c r="E82" s="458">
        <v>1.42</v>
      </c>
      <c r="F82" s="459">
        <v>1.43</v>
      </c>
      <c r="G82" s="2">
        <f t="shared" si="512"/>
        <v>17.750000000000284</v>
      </c>
      <c r="H82" s="460">
        <f t="shared" si="513"/>
        <v>30.250000000000483</v>
      </c>
      <c r="I82" s="9">
        <f t="shared" si="514"/>
        <v>6.3525000000001013</v>
      </c>
      <c r="J82" s="461">
        <f t="shared" si="515"/>
        <v>36.602500000000582</v>
      </c>
      <c r="L82" s="153">
        <f t="shared" si="516"/>
        <v>17.875000000000288</v>
      </c>
      <c r="M82" s="460">
        <f t="shared" si="517"/>
        <v>30.37500000000049</v>
      </c>
      <c r="N82" s="9">
        <f t="shared" si="518"/>
        <v>6.3787500000001023</v>
      </c>
      <c r="O82" s="461">
        <f t="shared" si="519"/>
        <v>36.753750000000593</v>
      </c>
    </row>
    <row r="83" spans="1:15" x14ac:dyDescent="0.3">
      <c r="A83" s="454" t="s">
        <v>1554</v>
      </c>
      <c r="B83" s="504" t="s">
        <v>510</v>
      </c>
      <c r="C83" s="456" t="s">
        <v>1655</v>
      </c>
      <c r="D83" s="457">
        <v>11.4500000000002</v>
      </c>
      <c r="E83" s="458">
        <v>1.44</v>
      </c>
      <c r="F83" s="459">
        <v>1.45</v>
      </c>
      <c r="G83" s="2">
        <f t="shared" si="512"/>
        <v>16.488000000000287</v>
      </c>
      <c r="H83" s="460">
        <f t="shared" si="513"/>
        <v>27.938000000000486</v>
      </c>
      <c r="I83" s="9">
        <f t="shared" si="514"/>
        <v>5.866980000000102</v>
      </c>
      <c r="J83" s="461">
        <f t="shared" si="515"/>
        <v>33.80498000000059</v>
      </c>
      <c r="L83" s="153">
        <f t="shared" si="516"/>
        <v>16.60250000000029</v>
      </c>
      <c r="M83" s="460">
        <f t="shared" si="517"/>
        <v>28.052500000000492</v>
      </c>
      <c r="N83" s="9">
        <f t="shared" si="518"/>
        <v>5.891025000000103</v>
      </c>
      <c r="O83" s="461">
        <f t="shared" si="519"/>
        <v>33.943525000000598</v>
      </c>
    </row>
    <row r="84" spans="1:15" x14ac:dyDescent="0.3">
      <c r="A84" s="454" t="s">
        <v>1555</v>
      </c>
      <c r="B84" s="504" t="s">
        <v>512</v>
      </c>
      <c r="C84" s="456" t="s">
        <v>1655</v>
      </c>
      <c r="D84" s="457">
        <v>10.400000000000199</v>
      </c>
      <c r="E84" s="458">
        <v>1.46</v>
      </c>
      <c r="F84" s="459">
        <v>1.47</v>
      </c>
      <c r="G84" s="2">
        <f t="shared" si="512"/>
        <v>15.184000000000291</v>
      </c>
      <c r="H84" s="460">
        <f t="shared" si="513"/>
        <v>25.58400000000049</v>
      </c>
      <c r="I84" s="9">
        <f t="shared" si="514"/>
        <v>5.3726400000001027</v>
      </c>
      <c r="J84" s="461">
        <f t="shared" si="515"/>
        <v>30.956640000000593</v>
      </c>
      <c r="L84" s="153">
        <f t="shared" si="516"/>
        <v>15.288000000000293</v>
      </c>
      <c r="M84" s="460">
        <f t="shared" si="517"/>
        <v>25.688000000000493</v>
      </c>
      <c r="N84" s="9">
        <f t="shared" si="518"/>
        <v>5.3944800000001036</v>
      </c>
      <c r="O84" s="461">
        <f t="shared" si="519"/>
        <v>31.082480000000597</v>
      </c>
    </row>
    <row r="85" spans="1:15" x14ac:dyDescent="0.3">
      <c r="A85" s="454" t="s">
        <v>1556</v>
      </c>
      <c r="B85" s="504" t="s">
        <v>530</v>
      </c>
      <c r="C85" s="456" t="s">
        <v>1655</v>
      </c>
      <c r="D85" s="457">
        <v>9.3500000000001897</v>
      </c>
      <c r="E85" s="458">
        <v>1.48</v>
      </c>
      <c r="F85" s="459">
        <v>1.49</v>
      </c>
      <c r="G85" s="2">
        <f t="shared" si="512"/>
        <v>13.83800000000028</v>
      </c>
      <c r="H85" s="460">
        <f t="shared" si="513"/>
        <v>23.188000000000471</v>
      </c>
      <c r="I85" s="9">
        <f t="shared" si="514"/>
        <v>4.8694800000000988</v>
      </c>
      <c r="J85" s="461">
        <f t="shared" si="515"/>
        <v>28.05748000000057</v>
      </c>
      <c r="L85" s="153">
        <f t="shared" si="516"/>
        <v>13.931500000000282</v>
      </c>
      <c r="M85" s="460">
        <f t="shared" si="517"/>
        <v>23.28150000000047</v>
      </c>
      <c r="N85" s="9">
        <f t="shared" si="518"/>
        <v>4.8891150000000989</v>
      </c>
      <c r="O85" s="461">
        <f t="shared" si="519"/>
        <v>28.17061500000057</v>
      </c>
    </row>
    <row r="86" spans="1:15" x14ac:dyDescent="0.3">
      <c r="A86" s="454" t="s">
        <v>1557</v>
      </c>
      <c r="B86" s="504" t="s">
        <v>532</v>
      </c>
      <c r="C86" s="456" t="s">
        <v>1655</v>
      </c>
      <c r="D86" s="457">
        <v>8.3000000000001997</v>
      </c>
      <c r="E86" s="458">
        <v>1.5</v>
      </c>
      <c r="F86" s="459">
        <v>1.51</v>
      </c>
      <c r="G86" s="2">
        <f t="shared" si="512"/>
        <v>12.450000000000299</v>
      </c>
      <c r="H86" s="460">
        <f t="shared" si="513"/>
        <v>20.750000000000497</v>
      </c>
      <c r="I86" s="9">
        <f t="shared" si="514"/>
        <v>4.3575000000001038</v>
      </c>
      <c r="J86" s="461">
        <f t="shared" si="515"/>
        <v>25.107500000000602</v>
      </c>
      <c r="L86" s="153">
        <f t="shared" si="516"/>
        <v>12.533000000000301</v>
      </c>
      <c r="M86" s="460">
        <f t="shared" si="517"/>
        <v>20.833000000000503</v>
      </c>
      <c r="N86" s="9">
        <f t="shared" si="518"/>
        <v>4.3749300000001057</v>
      </c>
      <c r="O86" s="461">
        <f t="shared" si="519"/>
        <v>25.207930000000609</v>
      </c>
    </row>
    <row r="87" spans="1:15" x14ac:dyDescent="0.3">
      <c r="A87" s="454" t="s">
        <v>1558</v>
      </c>
      <c r="B87" s="504" t="s">
        <v>679</v>
      </c>
      <c r="C87" s="456" t="s">
        <v>1655</v>
      </c>
      <c r="D87" s="457">
        <v>7.2500000000001998</v>
      </c>
      <c r="E87" s="458">
        <v>1.52</v>
      </c>
      <c r="F87" s="459">
        <v>1.53</v>
      </c>
      <c r="G87" s="2">
        <f t="shared" si="512"/>
        <v>11.020000000000303</v>
      </c>
      <c r="H87" s="460">
        <f t="shared" si="513"/>
        <v>18.270000000000504</v>
      </c>
      <c r="I87" s="9">
        <f t="shared" si="514"/>
        <v>3.8367000000001057</v>
      </c>
      <c r="J87" s="461">
        <f t="shared" si="515"/>
        <v>22.106700000000611</v>
      </c>
      <c r="L87" s="153">
        <f t="shared" si="516"/>
        <v>11.092500000000307</v>
      </c>
      <c r="M87" s="460">
        <f t="shared" si="517"/>
        <v>18.342500000000506</v>
      </c>
      <c r="N87" s="9">
        <f t="shared" si="518"/>
        <v>3.8519250000001062</v>
      </c>
      <c r="O87" s="461">
        <f t="shared" si="519"/>
        <v>22.194425000000614</v>
      </c>
    </row>
    <row r="88" spans="1:15" x14ac:dyDescent="0.3">
      <c r="A88" s="454" t="s">
        <v>1559</v>
      </c>
      <c r="B88" s="504" t="s">
        <v>681</v>
      </c>
      <c r="C88" s="456" t="s">
        <v>1655</v>
      </c>
      <c r="D88" s="457">
        <v>6.2000000000002</v>
      </c>
      <c r="E88" s="458">
        <v>1.54</v>
      </c>
      <c r="F88" s="459">
        <v>1.55</v>
      </c>
      <c r="G88" s="2">
        <f t="shared" si="512"/>
        <v>9.5480000000003091</v>
      </c>
      <c r="H88" s="460">
        <f t="shared" si="513"/>
        <v>15.748000000000509</v>
      </c>
      <c r="I88" s="9">
        <f t="shared" si="514"/>
        <v>3.3070800000001066</v>
      </c>
      <c r="J88" s="461">
        <f t="shared" si="515"/>
        <v>19.055080000000615</v>
      </c>
      <c r="L88" s="153">
        <f t="shared" si="516"/>
        <v>9.6100000000003103</v>
      </c>
      <c r="M88" s="460">
        <f t="shared" si="517"/>
        <v>15.81000000000051</v>
      </c>
      <c r="N88" s="9">
        <f t="shared" si="518"/>
        <v>3.3201000000001071</v>
      </c>
      <c r="O88" s="461">
        <f t="shared" si="519"/>
        <v>19.130100000000617</v>
      </c>
    </row>
    <row r="89" spans="1:15" x14ac:dyDescent="0.3">
      <c r="A89" s="454" t="s">
        <v>1560</v>
      </c>
      <c r="B89" s="504" t="s">
        <v>1606</v>
      </c>
      <c r="C89" s="456" t="s">
        <v>1655</v>
      </c>
      <c r="D89" s="457">
        <v>5.1500000000002002</v>
      </c>
      <c r="E89" s="458">
        <v>1.56</v>
      </c>
      <c r="F89" s="459">
        <v>1.57</v>
      </c>
      <c r="G89" s="2">
        <f t="shared" ref="G89" si="520">D89*E89</f>
        <v>8.0340000000003133</v>
      </c>
      <c r="H89" s="460">
        <f t="shared" ref="H89" si="521">G89+D89</f>
        <v>13.184000000000513</v>
      </c>
      <c r="I89" s="9">
        <f t="shared" ref="I89" si="522">H89*0.21</f>
        <v>2.7686400000001075</v>
      </c>
      <c r="J89" s="461">
        <f t="shared" ref="J89" si="523">H89+I89</f>
        <v>15.952640000000621</v>
      </c>
      <c r="L89" s="153">
        <f t="shared" ref="L89" si="524">D89*F89</f>
        <v>8.0855000000003141</v>
      </c>
      <c r="M89" s="460">
        <f t="shared" ref="M89" si="525">D89+L89</f>
        <v>13.235500000000513</v>
      </c>
      <c r="N89" s="9">
        <f t="shared" ref="N89" si="526">M89*0.21</f>
        <v>2.7794550000001079</v>
      </c>
      <c r="O89" s="461">
        <f t="shared" ref="O89" si="527">M89+N89</f>
        <v>16.014955000000622</v>
      </c>
    </row>
    <row r="90" spans="1:15" x14ac:dyDescent="0.3">
      <c r="A90" s="454" t="s">
        <v>1605</v>
      </c>
      <c r="B90" s="455" t="s">
        <v>435</v>
      </c>
      <c r="C90" s="456" t="s">
        <v>1655</v>
      </c>
      <c r="D90" s="457">
        <v>4.1000000000001897</v>
      </c>
      <c r="E90" s="458">
        <v>1.58</v>
      </c>
      <c r="F90" s="459">
        <v>1.59</v>
      </c>
      <c r="G90" s="2">
        <f t="shared" ref="G90" si="528">D90*E90</f>
        <v>6.4780000000003</v>
      </c>
      <c r="H90" s="460">
        <f t="shared" ref="H90" si="529">G90+D90</f>
        <v>10.57800000000049</v>
      </c>
      <c r="I90" s="9">
        <f t="shared" ref="I90" si="530">H90*0.21</f>
        <v>2.2213800000001029</v>
      </c>
      <c r="J90" s="461">
        <f t="shared" ref="J90" si="531">H90+I90</f>
        <v>12.799380000000593</v>
      </c>
      <c r="L90" s="153">
        <f t="shared" ref="L90" si="532">D90*F90</f>
        <v>6.5190000000003021</v>
      </c>
      <c r="M90" s="460">
        <f t="shared" ref="M90" si="533">D90+L90</f>
        <v>10.619000000000492</v>
      </c>
      <c r="N90" s="9">
        <f t="shared" ref="N90" si="534">M90*0.21</f>
        <v>2.2299900000001034</v>
      </c>
      <c r="O90" s="461">
        <f t="shared" ref="O90" si="535">M90+N90</f>
        <v>12.848990000000596</v>
      </c>
    </row>
    <row r="91" spans="1:15" x14ac:dyDescent="0.3">
      <c r="A91" s="454" t="s">
        <v>1651</v>
      </c>
      <c r="B91" s="455" t="s">
        <v>1652</v>
      </c>
      <c r="C91" s="456" t="s">
        <v>1655</v>
      </c>
      <c r="D91" s="457">
        <v>3.0500000000002001</v>
      </c>
      <c r="E91" s="458">
        <v>1.6</v>
      </c>
      <c r="F91" s="459">
        <v>1.61</v>
      </c>
      <c r="G91" s="2">
        <f t="shared" ref="G91" si="536">D91*E91</f>
        <v>4.8800000000003205</v>
      </c>
      <c r="H91" s="460">
        <f t="shared" ref="H91" si="537">G91+D91</f>
        <v>7.9300000000005202</v>
      </c>
      <c r="I91" s="9">
        <f t="shared" ref="I91" si="538">H91*0.21</f>
        <v>1.6653000000001092</v>
      </c>
      <c r="J91" s="461">
        <f t="shared" ref="J91" si="539">H91+I91</f>
        <v>9.5953000000006288</v>
      </c>
      <c r="L91" s="153">
        <f t="shared" ref="L91" si="540">D91*F91</f>
        <v>4.9105000000003223</v>
      </c>
      <c r="M91" s="460">
        <f t="shared" ref="M91" si="541">D91+L91</f>
        <v>7.9605000000005219</v>
      </c>
      <c r="N91" s="9">
        <f t="shared" ref="N91" si="542">M91*0.21</f>
        <v>1.6717050000001095</v>
      </c>
      <c r="O91" s="461">
        <f t="shared" ref="O91" si="543">M91+N91</f>
        <v>9.6322050000006314</v>
      </c>
    </row>
  </sheetData>
  <mergeCells count="5">
    <mergeCell ref="A1:D4"/>
    <mergeCell ref="A6:D7"/>
    <mergeCell ref="A8:D9"/>
    <mergeCell ref="E10:F10"/>
    <mergeCell ref="L10:O1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D4D4D"/>
  </sheetPr>
  <dimension ref="A1:O88"/>
  <sheetViews>
    <sheetView zoomScale="90" zoomScaleNormal="90" workbookViewId="0">
      <selection activeCell="G37" sqref="G37"/>
    </sheetView>
  </sheetViews>
  <sheetFormatPr defaultRowHeight="14.4" x14ac:dyDescent="0.3"/>
  <cols>
    <col min="2" max="2" width="40" customWidth="1"/>
    <col min="3" max="3" width="17.6640625" customWidth="1"/>
    <col min="4" max="4" width="17.109375" customWidth="1"/>
    <col min="5" max="5" width="9.44140625" customWidth="1"/>
    <col min="6" max="6" width="9.6640625" customWidth="1"/>
    <col min="7" max="7" width="9.5546875" customWidth="1"/>
    <col min="8" max="8" width="17" customWidth="1"/>
    <col min="9" max="9" width="9.44140625" customWidth="1"/>
    <col min="10" max="10" width="13" customWidth="1"/>
    <col min="13" max="13" width="16.109375" customWidth="1"/>
  </cols>
  <sheetData>
    <row r="1" spans="1:15" x14ac:dyDescent="0.3">
      <c r="A1" s="518"/>
      <c r="B1" s="519"/>
      <c r="C1" s="519"/>
      <c r="D1" s="520"/>
    </row>
    <row r="2" spans="1:15" x14ac:dyDescent="0.3">
      <c r="A2" s="521"/>
      <c r="B2" s="522"/>
      <c r="C2" s="522"/>
      <c r="D2" s="523"/>
    </row>
    <row r="3" spans="1:15" x14ac:dyDescent="0.3">
      <c r="A3" s="521"/>
      <c r="B3" s="522"/>
      <c r="C3" s="522"/>
      <c r="D3" s="523"/>
    </row>
    <row r="4" spans="1:15" x14ac:dyDescent="0.3">
      <c r="A4" s="524"/>
      <c r="B4" s="525"/>
      <c r="C4" s="525"/>
      <c r="D4" s="526"/>
    </row>
    <row r="6" spans="1:15" ht="14.4" customHeight="1" x14ac:dyDescent="0.3">
      <c r="A6" s="527" t="s">
        <v>1657</v>
      </c>
      <c r="B6" s="528"/>
      <c r="C6" s="528"/>
      <c r="D6" s="529"/>
    </row>
    <row r="7" spans="1:15" ht="14.4" customHeight="1" x14ac:dyDescent="0.3">
      <c r="A7" s="530"/>
      <c r="B7" s="531"/>
      <c r="C7" s="531"/>
      <c r="D7" s="532"/>
    </row>
    <row r="8" spans="1:15" ht="14.4" customHeight="1" x14ac:dyDescent="0.3">
      <c r="A8" s="533" t="s">
        <v>2218</v>
      </c>
      <c r="B8" s="534"/>
      <c r="C8" s="534"/>
      <c r="D8" s="535"/>
    </row>
    <row r="9" spans="1:15" ht="14.4" customHeight="1" x14ac:dyDescent="0.3">
      <c r="A9" s="536"/>
      <c r="B9" s="537"/>
      <c r="C9" s="537"/>
      <c r="D9" s="538"/>
    </row>
    <row r="10" spans="1:15" ht="15.6" x14ac:dyDescent="0.3">
      <c r="E10" s="539" t="s">
        <v>2</v>
      </c>
      <c r="F10" s="539"/>
      <c r="L10" s="540" t="s">
        <v>831</v>
      </c>
      <c r="M10" s="540"/>
      <c r="N10" s="540"/>
      <c r="O10" s="540"/>
    </row>
    <row r="11" spans="1:15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L11" s="152" t="s">
        <v>3</v>
      </c>
      <c r="M11" s="152" t="s">
        <v>11</v>
      </c>
      <c r="N11" s="152" t="s">
        <v>4</v>
      </c>
      <c r="O11" s="152" t="s">
        <v>7</v>
      </c>
    </row>
    <row r="12" spans="1:15" ht="14.4" customHeight="1" x14ac:dyDescent="0.3">
      <c r="A12" s="224" t="s">
        <v>498</v>
      </c>
      <c r="B12" s="225" t="s">
        <v>1573</v>
      </c>
      <c r="C12" s="226" t="s">
        <v>1655</v>
      </c>
      <c r="D12" s="227">
        <v>6.5</v>
      </c>
      <c r="E12" s="228">
        <v>0.2</v>
      </c>
      <c r="F12" s="231">
        <v>0.3</v>
      </c>
      <c r="G12" s="2">
        <f t="shared" ref="G12:G20" si="0">D12*E12</f>
        <v>1.3</v>
      </c>
      <c r="H12" s="229">
        <f t="shared" ref="H12:H20" si="1">G12+D12</f>
        <v>7.8</v>
      </c>
      <c r="I12" s="9">
        <f t="shared" ref="I12:I20" si="2">H12*0.21</f>
        <v>1.6379999999999999</v>
      </c>
      <c r="J12" s="230">
        <f t="shared" ref="J12:J20" si="3">H12+I12</f>
        <v>9.4379999999999988</v>
      </c>
      <c r="L12" s="153">
        <f t="shared" ref="L12:L20" si="4">D12*F12</f>
        <v>1.95</v>
      </c>
      <c r="M12" s="229">
        <f t="shared" ref="M12:M20" si="5">D12+L12</f>
        <v>8.4499999999999993</v>
      </c>
      <c r="N12" s="9">
        <f t="shared" ref="N12:N20" si="6">M12*0.21</f>
        <v>1.7744999999999997</v>
      </c>
      <c r="O12" s="230">
        <f t="shared" ref="O12:O20" si="7">M12+N12</f>
        <v>10.224499999999999</v>
      </c>
    </row>
    <row r="13" spans="1:15" x14ac:dyDescent="0.3">
      <c r="A13" s="224" t="s">
        <v>499</v>
      </c>
      <c r="B13" s="225" t="s">
        <v>382</v>
      </c>
      <c r="C13" s="226" t="s">
        <v>1655</v>
      </c>
      <c r="D13" s="227">
        <v>7.3</v>
      </c>
      <c r="E13" s="228">
        <v>0.2</v>
      </c>
      <c r="F13" s="231">
        <v>0.3</v>
      </c>
      <c r="G13" s="2">
        <f t="shared" si="0"/>
        <v>1.46</v>
      </c>
      <c r="H13" s="229">
        <f t="shared" si="1"/>
        <v>8.76</v>
      </c>
      <c r="I13" s="9">
        <f t="shared" si="2"/>
        <v>1.8395999999999999</v>
      </c>
      <c r="J13" s="230">
        <f t="shared" si="3"/>
        <v>10.599599999999999</v>
      </c>
      <c r="L13" s="153">
        <f t="shared" si="4"/>
        <v>2.19</v>
      </c>
      <c r="M13" s="229">
        <f t="shared" si="5"/>
        <v>9.49</v>
      </c>
      <c r="N13" s="9">
        <f t="shared" si="6"/>
        <v>1.9928999999999999</v>
      </c>
      <c r="O13" s="230">
        <f t="shared" si="7"/>
        <v>11.482900000000001</v>
      </c>
    </row>
    <row r="14" spans="1:15" x14ac:dyDescent="0.3">
      <c r="A14" s="224" t="s">
        <v>500</v>
      </c>
      <c r="B14" s="225" t="s">
        <v>438</v>
      </c>
      <c r="C14" s="226" t="s">
        <v>1655</v>
      </c>
      <c r="D14" s="227">
        <v>8.1</v>
      </c>
      <c r="E14" s="228">
        <v>0.2</v>
      </c>
      <c r="F14" s="231">
        <v>0.3</v>
      </c>
      <c r="G14" s="2">
        <f t="shared" si="0"/>
        <v>1.62</v>
      </c>
      <c r="H14" s="229">
        <f t="shared" si="1"/>
        <v>9.7199999999999989</v>
      </c>
      <c r="I14" s="9">
        <f t="shared" si="2"/>
        <v>2.0411999999999999</v>
      </c>
      <c r="J14" s="230">
        <f t="shared" si="3"/>
        <v>11.761199999999999</v>
      </c>
      <c r="L14" s="153">
        <f t="shared" si="4"/>
        <v>2.4299999999999997</v>
      </c>
      <c r="M14" s="229">
        <f t="shared" si="5"/>
        <v>10.53</v>
      </c>
      <c r="N14" s="9">
        <f t="shared" si="6"/>
        <v>2.2112999999999996</v>
      </c>
      <c r="O14" s="230">
        <f t="shared" si="7"/>
        <v>12.741299999999999</v>
      </c>
    </row>
    <row r="15" spans="1:15" x14ac:dyDescent="0.3">
      <c r="A15" s="224" t="s">
        <v>501</v>
      </c>
      <c r="B15" s="225" t="s">
        <v>1574</v>
      </c>
      <c r="C15" s="226" t="s">
        <v>1655</v>
      </c>
      <c r="D15" s="227">
        <v>8.9</v>
      </c>
      <c r="E15" s="228">
        <v>0.2</v>
      </c>
      <c r="F15" s="231">
        <v>0.3</v>
      </c>
      <c r="G15" s="2">
        <f t="shared" si="0"/>
        <v>1.7800000000000002</v>
      </c>
      <c r="H15" s="229">
        <f t="shared" si="1"/>
        <v>10.68</v>
      </c>
      <c r="I15" s="9">
        <f t="shared" si="2"/>
        <v>2.2427999999999999</v>
      </c>
      <c r="J15" s="230">
        <f t="shared" si="3"/>
        <v>12.922799999999999</v>
      </c>
      <c r="L15" s="153">
        <f t="shared" si="4"/>
        <v>2.67</v>
      </c>
      <c r="M15" s="229">
        <f t="shared" si="5"/>
        <v>11.57</v>
      </c>
      <c r="N15" s="9">
        <f t="shared" si="6"/>
        <v>2.4297</v>
      </c>
      <c r="O15" s="230">
        <f t="shared" si="7"/>
        <v>13.999700000000001</v>
      </c>
    </row>
    <row r="16" spans="1:15" x14ac:dyDescent="0.3">
      <c r="A16" s="224" t="s">
        <v>502</v>
      </c>
      <c r="B16" s="225" t="s">
        <v>1588</v>
      </c>
      <c r="C16" s="226" t="s">
        <v>1655</v>
      </c>
      <c r="D16" s="227">
        <v>9.6999999999999993</v>
      </c>
      <c r="E16" s="228">
        <v>0.2</v>
      </c>
      <c r="F16" s="231">
        <v>0.3</v>
      </c>
      <c r="G16" s="2">
        <f t="shared" si="0"/>
        <v>1.94</v>
      </c>
      <c r="H16" s="229">
        <f t="shared" si="1"/>
        <v>11.639999999999999</v>
      </c>
      <c r="I16" s="9">
        <f t="shared" si="2"/>
        <v>2.4443999999999995</v>
      </c>
      <c r="J16" s="230">
        <f t="shared" si="3"/>
        <v>14.084399999999999</v>
      </c>
      <c r="L16" s="153">
        <f t="shared" si="4"/>
        <v>2.9099999999999997</v>
      </c>
      <c r="M16" s="229">
        <f t="shared" si="5"/>
        <v>12.61</v>
      </c>
      <c r="N16" s="9">
        <f t="shared" si="6"/>
        <v>2.6480999999999999</v>
      </c>
      <c r="O16" s="230">
        <f t="shared" si="7"/>
        <v>15.258099999999999</v>
      </c>
    </row>
    <row r="17" spans="1:15" x14ac:dyDescent="0.3">
      <c r="A17" s="224" t="s">
        <v>503</v>
      </c>
      <c r="B17" s="225" t="s">
        <v>454</v>
      </c>
      <c r="C17" s="226" t="s">
        <v>1655</v>
      </c>
      <c r="D17" s="227">
        <v>10.5</v>
      </c>
      <c r="E17" s="228">
        <v>0.2</v>
      </c>
      <c r="F17" s="231">
        <v>0.3</v>
      </c>
      <c r="G17" s="2">
        <f t="shared" si="0"/>
        <v>2.1</v>
      </c>
      <c r="H17" s="229">
        <f t="shared" si="1"/>
        <v>12.6</v>
      </c>
      <c r="I17" s="9">
        <f t="shared" si="2"/>
        <v>2.6459999999999999</v>
      </c>
      <c r="J17" s="230">
        <f t="shared" si="3"/>
        <v>15.245999999999999</v>
      </c>
      <c r="L17" s="153">
        <f t="shared" si="4"/>
        <v>3.15</v>
      </c>
      <c r="M17" s="229">
        <f t="shared" si="5"/>
        <v>13.65</v>
      </c>
      <c r="N17" s="9">
        <f t="shared" si="6"/>
        <v>2.8664999999999998</v>
      </c>
      <c r="O17" s="230">
        <f t="shared" si="7"/>
        <v>16.516500000000001</v>
      </c>
    </row>
    <row r="18" spans="1:15" x14ac:dyDescent="0.3">
      <c r="A18" s="224" t="s">
        <v>504</v>
      </c>
      <c r="B18" s="225" t="s">
        <v>455</v>
      </c>
      <c r="C18" s="226" t="s">
        <v>1655</v>
      </c>
      <c r="D18" s="227">
        <v>11.3</v>
      </c>
      <c r="E18" s="228">
        <v>0.2</v>
      </c>
      <c r="F18" s="231">
        <v>0.3</v>
      </c>
      <c r="G18" s="2">
        <f t="shared" si="0"/>
        <v>2.2600000000000002</v>
      </c>
      <c r="H18" s="229">
        <f t="shared" si="1"/>
        <v>13.56</v>
      </c>
      <c r="I18" s="9">
        <f t="shared" si="2"/>
        <v>2.8475999999999999</v>
      </c>
      <c r="J18" s="230">
        <f t="shared" si="3"/>
        <v>16.407600000000002</v>
      </c>
      <c r="L18" s="153">
        <f t="shared" si="4"/>
        <v>3.39</v>
      </c>
      <c r="M18" s="229">
        <f t="shared" si="5"/>
        <v>14.690000000000001</v>
      </c>
      <c r="N18" s="9">
        <f t="shared" si="6"/>
        <v>3.0849000000000002</v>
      </c>
      <c r="O18" s="230">
        <f t="shared" si="7"/>
        <v>17.774900000000002</v>
      </c>
    </row>
    <row r="19" spans="1:15" x14ac:dyDescent="0.3">
      <c r="A19" s="224" t="s">
        <v>505</v>
      </c>
      <c r="B19" s="225" t="s">
        <v>456</v>
      </c>
      <c r="C19" s="226" t="s">
        <v>1655</v>
      </c>
      <c r="D19" s="227">
        <v>12.1</v>
      </c>
      <c r="E19" s="228">
        <v>0.2</v>
      </c>
      <c r="F19" s="231">
        <v>0.3</v>
      </c>
      <c r="G19" s="2">
        <f t="shared" si="0"/>
        <v>2.42</v>
      </c>
      <c r="H19" s="229">
        <f t="shared" si="1"/>
        <v>14.52</v>
      </c>
      <c r="I19" s="9">
        <f t="shared" si="2"/>
        <v>3.0491999999999999</v>
      </c>
      <c r="J19" s="230">
        <f t="shared" si="3"/>
        <v>17.569199999999999</v>
      </c>
      <c r="L19" s="153">
        <f t="shared" si="4"/>
        <v>3.63</v>
      </c>
      <c r="M19" s="229">
        <f t="shared" si="5"/>
        <v>15.73</v>
      </c>
      <c r="N19" s="9">
        <f t="shared" si="6"/>
        <v>3.3033000000000001</v>
      </c>
      <c r="O19" s="230">
        <f t="shared" si="7"/>
        <v>19.033300000000001</v>
      </c>
    </row>
    <row r="20" spans="1:15" x14ac:dyDescent="0.3">
      <c r="A20" s="224" t="s">
        <v>506</v>
      </c>
      <c r="B20" s="225" t="s">
        <v>457</v>
      </c>
      <c r="C20" s="226" t="s">
        <v>1655</v>
      </c>
      <c r="D20" s="227">
        <v>12.9</v>
      </c>
      <c r="E20" s="228">
        <v>0.2</v>
      </c>
      <c r="F20" s="231">
        <v>0.3</v>
      </c>
      <c r="G20" s="2">
        <f t="shared" si="0"/>
        <v>2.58</v>
      </c>
      <c r="H20" s="229">
        <f t="shared" si="1"/>
        <v>15.48</v>
      </c>
      <c r="I20" s="9">
        <f t="shared" si="2"/>
        <v>3.2507999999999999</v>
      </c>
      <c r="J20" s="230">
        <f t="shared" si="3"/>
        <v>18.730800000000002</v>
      </c>
      <c r="L20" s="153">
        <f t="shared" si="4"/>
        <v>3.87</v>
      </c>
      <c r="M20" s="229">
        <f t="shared" si="5"/>
        <v>16.77</v>
      </c>
      <c r="N20" s="9">
        <f t="shared" si="6"/>
        <v>3.5216999999999996</v>
      </c>
      <c r="O20" s="230">
        <f t="shared" si="7"/>
        <v>20.291699999999999</v>
      </c>
    </row>
    <row r="21" spans="1:15" x14ac:dyDescent="0.3">
      <c r="A21" s="224" t="s">
        <v>507</v>
      </c>
      <c r="B21" s="225" t="s">
        <v>1574</v>
      </c>
      <c r="C21" s="226" t="s">
        <v>1655</v>
      </c>
      <c r="D21" s="227">
        <v>13.7</v>
      </c>
      <c r="E21" s="228">
        <v>0.2</v>
      </c>
      <c r="F21" s="231">
        <v>0.3</v>
      </c>
      <c r="G21" s="2">
        <f t="shared" ref="G21" si="8">D21*E21</f>
        <v>2.74</v>
      </c>
      <c r="H21" s="229">
        <f t="shared" ref="H21" si="9">G21+D21</f>
        <v>16.439999999999998</v>
      </c>
      <c r="I21" s="9">
        <f t="shared" ref="I21" si="10">H21*0.21</f>
        <v>3.4523999999999995</v>
      </c>
      <c r="J21" s="230">
        <f t="shared" ref="J21" si="11">H21+I21</f>
        <v>19.892399999999999</v>
      </c>
      <c r="L21" s="153">
        <f t="shared" ref="L21" si="12">D21*F21</f>
        <v>4.1099999999999994</v>
      </c>
      <c r="M21" s="229">
        <f t="shared" ref="M21" si="13">D21+L21</f>
        <v>17.809999999999999</v>
      </c>
      <c r="N21" s="9">
        <f t="shared" ref="N21" si="14">M21*0.21</f>
        <v>3.7400999999999995</v>
      </c>
      <c r="O21" s="230">
        <f t="shared" ref="O21" si="15">M21+N21</f>
        <v>21.550099999999997</v>
      </c>
    </row>
    <row r="22" spans="1:15" x14ac:dyDescent="0.3">
      <c r="A22" s="224" t="s">
        <v>515</v>
      </c>
      <c r="B22" s="344" t="s">
        <v>1575</v>
      </c>
      <c r="C22" s="226" t="s">
        <v>1655</v>
      </c>
      <c r="D22" s="227">
        <v>14.5</v>
      </c>
      <c r="E22" s="228">
        <v>0.2</v>
      </c>
      <c r="F22" s="231">
        <v>0.3</v>
      </c>
      <c r="G22" s="2">
        <f t="shared" ref="G22" si="16">D22*E22</f>
        <v>2.9000000000000004</v>
      </c>
      <c r="H22" s="229">
        <f t="shared" ref="H22" si="17">G22+D22</f>
        <v>17.399999999999999</v>
      </c>
      <c r="I22" s="9">
        <f t="shared" ref="I22" si="18">H22*0.21</f>
        <v>3.6539999999999995</v>
      </c>
      <c r="J22" s="230">
        <f t="shared" ref="J22" si="19">H22+I22</f>
        <v>21.053999999999998</v>
      </c>
      <c r="L22" s="153">
        <f t="shared" ref="L22" si="20">D22*F22</f>
        <v>4.3499999999999996</v>
      </c>
      <c r="M22" s="229">
        <f t="shared" ref="M22" si="21">D22+L22</f>
        <v>18.850000000000001</v>
      </c>
      <c r="N22" s="9">
        <f t="shared" ref="N22" si="22">M22*0.21</f>
        <v>3.9585000000000004</v>
      </c>
      <c r="O22" s="230">
        <f t="shared" ref="O22" si="23">M22+N22</f>
        <v>22.808500000000002</v>
      </c>
    </row>
    <row r="23" spans="1:15" x14ac:dyDescent="0.3">
      <c r="A23" s="224" t="s">
        <v>516</v>
      </c>
      <c r="B23" s="344" t="s">
        <v>1576</v>
      </c>
      <c r="C23" s="226" t="s">
        <v>1655</v>
      </c>
      <c r="D23" s="227">
        <v>15.3</v>
      </c>
      <c r="E23" s="228">
        <v>0.2</v>
      </c>
      <c r="F23" s="231">
        <v>0.3</v>
      </c>
      <c r="G23" s="2">
        <f t="shared" ref="G23" si="24">D23*E23</f>
        <v>3.0600000000000005</v>
      </c>
      <c r="H23" s="229">
        <f t="shared" ref="H23" si="25">G23+D23</f>
        <v>18.36</v>
      </c>
      <c r="I23" s="9">
        <f t="shared" ref="I23" si="26">H23*0.21</f>
        <v>3.8555999999999999</v>
      </c>
      <c r="J23" s="230">
        <f t="shared" ref="J23" si="27">H23+I23</f>
        <v>22.215599999999998</v>
      </c>
      <c r="L23" s="153">
        <f t="shared" ref="L23" si="28">D23*F23</f>
        <v>4.59</v>
      </c>
      <c r="M23" s="229">
        <f t="shared" ref="M23" si="29">D23+L23</f>
        <v>19.89</v>
      </c>
      <c r="N23" s="9">
        <f t="shared" ref="N23" si="30">M23*0.21</f>
        <v>4.1768999999999998</v>
      </c>
      <c r="O23" s="230">
        <f t="shared" ref="O23" si="31">M23+N23</f>
        <v>24.0669</v>
      </c>
    </row>
    <row r="24" spans="1:15" x14ac:dyDescent="0.3">
      <c r="A24" s="224" t="s">
        <v>517</v>
      </c>
      <c r="B24" s="344" t="s">
        <v>1589</v>
      </c>
      <c r="C24" s="226" t="s">
        <v>1655</v>
      </c>
      <c r="D24" s="227">
        <v>16.100000000000001</v>
      </c>
      <c r="E24" s="228">
        <v>0.2</v>
      </c>
      <c r="F24" s="231">
        <v>0.3</v>
      </c>
      <c r="G24" s="2">
        <f t="shared" ref="G24" si="32">D24*E24</f>
        <v>3.2200000000000006</v>
      </c>
      <c r="H24" s="229">
        <f t="shared" ref="H24" si="33">G24+D24</f>
        <v>19.32</v>
      </c>
      <c r="I24" s="9">
        <f t="shared" ref="I24" si="34">H24*0.21</f>
        <v>4.0571999999999999</v>
      </c>
      <c r="J24" s="230">
        <f t="shared" ref="J24" si="35">H24+I24</f>
        <v>23.377200000000002</v>
      </c>
      <c r="L24" s="153">
        <f t="shared" ref="L24" si="36">D24*F24</f>
        <v>4.83</v>
      </c>
      <c r="M24" s="229">
        <f t="shared" ref="M24" si="37">D24+L24</f>
        <v>20.93</v>
      </c>
      <c r="N24" s="9">
        <f t="shared" ref="N24" si="38">M24*0.21</f>
        <v>4.3952999999999998</v>
      </c>
      <c r="O24" s="230">
        <f t="shared" ref="O24" si="39">M24+N24</f>
        <v>25.325299999999999</v>
      </c>
    </row>
    <row r="25" spans="1:15" x14ac:dyDescent="0.3">
      <c r="A25" s="224" t="s">
        <v>518</v>
      </c>
      <c r="B25" s="344" t="s">
        <v>1590</v>
      </c>
      <c r="C25" s="226" t="s">
        <v>1655</v>
      </c>
      <c r="D25" s="227">
        <v>16.899999999999999</v>
      </c>
      <c r="E25" s="228">
        <v>0.2</v>
      </c>
      <c r="F25" s="231">
        <v>0.3</v>
      </c>
      <c r="G25" s="2">
        <f t="shared" ref="G25" si="40">D25*E25</f>
        <v>3.38</v>
      </c>
      <c r="H25" s="229">
        <f t="shared" ref="H25" si="41">G25+D25</f>
        <v>20.279999999999998</v>
      </c>
      <c r="I25" s="9">
        <f t="shared" ref="I25" si="42">H25*0.21</f>
        <v>4.258799999999999</v>
      </c>
      <c r="J25" s="230">
        <f t="shared" ref="J25" si="43">H25+I25</f>
        <v>24.538799999999995</v>
      </c>
      <c r="L25" s="153">
        <f t="shared" ref="L25" si="44">D25*F25</f>
        <v>5.0699999999999994</v>
      </c>
      <c r="M25" s="229">
        <f t="shared" ref="M25" si="45">D25+L25</f>
        <v>21.97</v>
      </c>
      <c r="N25" s="9">
        <f t="shared" ref="N25" si="46">M25*0.21</f>
        <v>4.6136999999999997</v>
      </c>
      <c r="O25" s="230">
        <f t="shared" ref="O25" si="47">M25+N25</f>
        <v>26.5837</v>
      </c>
    </row>
    <row r="26" spans="1:15" ht="15" customHeight="1" x14ac:dyDescent="0.3">
      <c r="A26" s="224" t="s">
        <v>519</v>
      </c>
      <c r="B26" s="344" t="s">
        <v>1577</v>
      </c>
      <c r="C26" s="226" t="s">
        <v>1655</v>
      </c>
      <c r="D26" s="227">
        <v>17.7</v>
      </c>
      <c r="E26" s="228">
        <v>0.2</v>
      </c>
      <c r="F26" s="231">
        <v>0.3</v>
      </c>
      <c r="G26" s="2">
        <f t="shared" ref="G26" si="48">D26*E26</f>
        <v>3.54</v>
      </c>
      <c r="H26" s="229">
        <f t="shared" ref="H26" si="49">G26+D26</f>
        <v>21.24</v>
      </c>
      <c r="I26" s="9">
        <f t="shared" ref="I26" si="50">H26*0.21</f>
        <v>4.4603999999999999</v>
      </c>
      <c r="J26" s="230">
        <f t="shared" ref="J26" si="51">H26+I26</f>
        <v>25.700399999999998</v>
      </c>
      <c r="L26" s="153">
        <f t="shared" ref="L26" si="52">D26*F26</f>
        <v>5.31</v>
      </c>
      <c r="M26" s="229">
        <f t="shared" ref="M26" si="53">D26+L26</f>
        <v>23.009999999999998</v>
      </c>
      <c r="N26" s="9">
        <f t="shared" ref="N26" si="54">M26*0.21</f>
        <v>4.8320999999999996</v>
      </c>
      <c r="O26" s="230">
        <f t="shared" ref="O26" si="55">M26+N26</f>
        <v>27.842099999999999</v>
      </c>
    </row>
    <row r="27" spans="1:15" x14ac:dyDescent="0.3">
      <c r="A27" s="224" t="s">
        <v>527</v>
      </c>
      <c r="B27" s="344" t="s">
        <v>1591</v>
      </c>
      <c r="C27" s="226" t="s">
        <v>1655</v>
      </c>
      <c r="D27" s="227">
        <v>18.5</v>
      </c>
      <c r="E27" s="228">
        <v>0.2</v>
      </c>
      <c r="F27" s="231">
        <v>0.3</v>
      </c>
      <c r="G27" s="2">
        <f t="shared" ref="G27" si="56">D27*E27</f>
        <v>3.7</v>
      </c>
      <c r="H27" s="229">
        <f t="shared" ref="H27" si="57">G27+D27</f>
        <v>22.2</v>
      </c>
      <c r="I27" s="9">
        <f t="shared" ref="I27" si="58">H27*0.21</f>
        <v>4.6619999999999999</v>
      </c>
      <c r="J27" s="230">
        <f t="shared" ref="J27" si="59">H27+I27</f>
        <v>26.861999999999998</v>
      </c>
      <c r="L27" s="153">
        <f t="shared" ref="L27" si="60">D27*F27</f>
        <v>5.55</v>
      </c>
      <c r="M27" s="229">
        <f t="shared" ref="M27" si="61">D27+L27</f>
        <v>24.05</v>
      </c>
      <c r="N27" s="9">
        <f t="shared" ref="N27" si="62">M27*0.21</f>
        <v>5.0504999999999995</v>
      </c>
      <c r="O27" s="230">
        <f t="shared" ref="O27" si="63">M27+N27</f>
        <v>29.1005</v>
      </c>
    </row>
    <row r="28" spans="1:15" x14ac:dyDescent="0.3">
      <c r="A28" s="224" t="s">
        <v>528</v>
      </c>
      <c r="B28" s="344" t="s">
        <v>1592</v>
      </c>
      <c r="C28" s="226" t="s">
        <v>1655</v>
      </c>
      <c r="D28" s="227">
        <v>19.3</v>
      </c>
      <c r="E28" s="228">
        <v>0.2</v>
      </c>
      <c r="F28" s="231">
        <v>0.3</v>
      </c>
      <c r="G28" s="2">
        <f t="shared" ref="G28" si="64">D28*E28</f>
        <v>3.8600000000000003</v>
      </c>
      <c r="H28" s="229">
        <f t="shared" ref="H28" si="65">G28+D28</f>
        <v>23.16</v>
      </c>
      <c r="I28" s="9">
        <f t="shared" ref="I28" si="66">H28*0.21</f>
        <v>4.8635999999999999</v>
      </c>
      <c r="J28" s="230">
        <f t="shared" ref="J28" si="67">H28+I28</f>
        <v>28.023600000000002</v>
      </c>
      <c r="L28" s="153">
        <f t="shared" ref="L28" si="68">D28*F28</f>
        <v>5.79</v>
      </c>
      <c r="M28" s="229">
        <f t="shared" ref="M28" si="69">D28+L28</f>
        <v>25.09</v>
      </c>
      <c r="N28" s="9">
        <f t="shared" ref="N28" si="70">M28*0.21</f>
        <v>5.2688999999999995</v>
      </c>
      <c r="O28" s="230">
        <f t="shared" ref="O28" si="71">M28+N28</f>
        <v>30.358899999999998</v>
      </c>
    </row>
    <row r="29" spans="1:15" x14ac:dyDescent="0.3">
      <c r="A29" s="224" t="s">
        <v>535</v>
      </c>
      <c r="B29" s="344" t="s">
        <v>1578</v>
      </c>
      <c r="C29" s="226" t="s">
        <v>1655</v>
      </c>
      <c r="D29" s="227">
        <v>20.100000000000001</v>
      </c>
      <c r="E29" s="228">
        <v>0.2</v>
      </c>
      <c r="F29" s="231">
        <v>0.3</v>
      </c>
      <c r="G29" s="2">
        <f t="shared" ref="G29" si="72">D29*E29</f>
        <v>4.0200000000000005</v>
      </c>
      <c r="H29" s="229">
        <f t="shared" ref="H29" si="73">G29+D29</f>
        <v>24.12</v>
      </c>
      <c r="I29" s="9">
        <f t="shared" ref="I29" si="74">H29*0.21</f>
        <v>5.0651999999999999</v>
      </c>
      <c r="J29" s="230">
        <f t="shared" ref="J29" si="75">H29+I29</f>
        <v>29.185200000000002</v>
      </c>
      <c r="L29" s="153">
        <f t="shared" ref="L29" si="76">D29*F29</f>
        <v>6.03</v>
      </c>
      <c r="M29" s="229">
        <f t="shared" ref="M29" si="77">D29+L29</f>
        <v>26.130000000000003</v>
      </c>
      <c r="N29" s="9">
        <f t="shared" ref="N29" si="78">M29*0.21</f>
        <v>5.4873000000000003</v>
      </c>
      <c r="O29" s="230">
        <f t="shared" ref="O29" si="79">M29+N29</f>
        <v>31.617300000000004</v>
      </c>
    </row>
    <row r="30" spans="1:15" x14ac:dyDescent="0.3">
      <c r="A30" s="224" t="s">
        <v>536</v>
      </c>
      <c r="B30" s="344" t="s">
        <v>1576</v>
      </c>
      <c r="C30" s="226" t="s">
        <v>1655</v>
      </c>
      <c r="D30" s="227">
        <v>20.9</v>
      </c>
      <c r="E30" s="228">
        <v>0.2</v>
      </c>
      <c r="F30" s="231">
        <v>0.3</v>
      </c>
      <c r="G30" s="2">
        <f t="shared" ref="G30" si="80">D30*E30</f>
        <v>4.18</v>
      </c>
      <c r="H30" s="229">
        <f t="shared" ref="H30" si="81">G30+D30</f>
        <v>25.08</v>
      </c>
      <c r="I30" s="9">
        <f t="shared" ref="I30" si="82">H30*0.21</f>
        <v>5.266799999999999</v>
      </c>
      <c r="J30" s="230">
        <f t="shared" ref="J30" si="83">H30+I30</f>
        <v>30.346799999999998</v>
      </c>
      <c r="L30" s="153">
        <f t="shared" ref="L30" si="84">D30*F30</f>
        <v>6.27</v>
      </c>
      <c r="M30" s="229">
        <f t="shared" ref="M30" si="85">D30+L30</f>
        <v>27.169999999999998</v>
      </c>
      <c r="N30" s="9">
        <f t="shared" ref="N30" si="86">M30*0.21</f>
        <v>5.7056999999999993</v>
      </c>
      <c r="O30" s="230">
        <f t="shared" ref="O30" si="87">M30+N30</f>
        <v>32.875699999999995</v>
      </c>
    </row>
    <row r="31" spans="1:15" x14ac:dyDescent="0.3">
      <c r="A31" s="224" t="s">
        <v>537</v>
      </c>
      <c r="B31" s="344" t="s">
        <v>1579</v>
      </c>
      <c r="C31" s="226" t="s">
        <v>1655</v>
      </c>
      <c r="D31" s="227">
        <v>21.7</v>
      </c>
      <c r="E31" s="228">
        <v>0.2</v>
      </c>
      <c r="F31" s="231">
        <v>0.3</v>
      </c>
      <c r="G31" s="2">
        <f t="shared" ref="G31" si="88">D31*E31</f>
        <v>4.34</v>
      </c>
      <c r="H31" s="229">
        <f t="shared" ref="H31" si="89">G31+D31</f>
        <v>26.04</v>
      </c>
      <c r="I31" s="9">
        <f t="shared" ref="I31" si="90">H31*0.21</f>
        <v>5.4683999999999999</v>
      </c>
      <c r="J31" s="230">
        <f t="shared" ref="J31" si="91">H31+I31</f>
        <v>31.508399999999998</v>
      </c>
      <c r="L31" s="153">
        <f t="shared" ref="L31" si="92">D31*F31</f>
        <v>6.51</v>
      </c>
      <c r="M31" s="229">
        <f t="shared" ref="M31" si="93">D31+L31</f>
        <v>28.21</v>
      </c>
      <c r="N31" s="9">
        <f t="shared" ref="N31" si="94">M31*0.21</f>
        <v>5.9241000000000001</v>
      </c>
      <c r="O31" s="230">
        <f t="shared" ref="O31" si="95">M31+N31</f>
        <v>34.134100000000004</v>
      </c>
    </row>
    <row r="32" spans="1:15" x14ac:dyDescent="0.3">
      <c r="A32" s="224" t="s">
        <v>538</v>
      </c>
      <c r="B32" s="344" t="s">
        <v>1580</v>
      </c>
      <c r="C32" s="226" t="s">
        <v>1655</v>
      </c>
      <c r="D32" s="227">
        <v>22.5</v>
      </c>
      <c r="E32" s="228">
        <v>0.2</v>
      </c>
      <c r="F32" s="231">
        <v>0.3</v>
      </c>
      <c r="G32" s="2">
        <f t="shared" ref="G32" si="96">D32*E32</f>
        <v>4.5</v>
      </c>
      <c r="H32" s="229">
        <f t="shared" ref="H32" si="97">G32+D32</f>
        <v>27</v>
      </c>
      <c r="I32" s="9">
        <f t="shared" ref="I32" si="98">H32*0.21</f>
        <v>5.67</v>
      </c>
      <c r="J32" s="230">
        <f t="shared" ref="J32" si="99">H32+I32</f>
        <v>32.67</v>
      </c>
      <c r="L32" s="153">
        <f t="shared" ref="L32" si="100">D32*F32</f>
        <v>6.75</v>
      </c>
      <c r="M32" s="229">
        <f t="shared" ref="M32" si="101">D32+L32</f>
        <v>29.25</v>
      </c>
      <c r="N32" s="9">
        <f t="shared" ref="N32" si="102">M32*0.21</f>
        <v>6.1425000000000001</v>
      </c>
      <c r="O32" s="230">
        <f t="shared" ref="O32" si="103">M32+N32</f>
        <v>35.392499999999998</v>
      </c>
    </row>
    <row r="33" spans="1:15" x14ac:dyDescent="0.3">
      <c r="A33" s="224" t="s">
        <v>539</v>
      </c>
      <c r="B33" s="344" t="s">
        <v>1581</v>
      </c>
      <c r="C33" s="226" t="s">
        <v>1655</v>
      </c>
      <c r="D33" s="227">
        <v>23.3</v>
      </c>
      <c r="E33" s="228">
        <v>0.2</v>
      </c>
      <c r="F33" s="231">
        <v>0.3</v>
      </c>
      <c r="G33" s="2">
        <f t="shared" ref="G33" si="104">D33*E33</f>
        <v>4.66</v>
      </c>
      <c r="H33" s="229">
        <f t="shared" ref="H33" si="105">G33+D33</f>
        <v>27.96</v>
      </c>
      <c r="I33" s="9">
        <f t="shared" ref="I33" si="106">H33*0.21</f>
        <v>5.8715999999999999</v>
      </c>
      <c r="J33" s="230">
        <f t="shared" ref="J33" si="107">H33+I33</f>
        <v>33.831600000000002</v>
      </c>
      <c r="L33" s="153">
        <f t="shared" ref="L33" si="108">D33*F33</f>
        <v>6.99</v>
      </c>
      <c r="M33" s="229">
        <f t="shared" ref="M33" si="109">D33+L33</f>
        <v>30.29</v>
      </c>
      <c r="N33" s="9">
        <f t="shared" ref="N33" si="110">M33*0.21</f>
        <v>6.3609</v>
      </c>
      <c r="O33" s="230">
        <f t="shared" ref="O33" si="111">M33+N33</f>
        <v>36.6509</v>
      </c>
    </row>
    <row r="34" spans="1:15" x14ac:dyDescent="0.3">
      <c r="A34" s="224" t="s">
        <v>540</v>
      </c>
      <c r="B34" s="344" t="s">
        <v>1582</v>
      </c>
      <c r="C34" s="226" t="s">
        <v>1655</v>
      </c>
      <c r="D34" s="227">
        <v>24.1</v>
      </c>
      <c r="E34" s="228">
        <v>0.2</v>
      </c>
      <c r="F34" s="231">
        <v>0.3</v>
      </c>
      <c r="G34" s="2">
        <f t="shared" ref="G34" si="112">D34*E34</f>
        <v>4.82</v>
      </c>
      <c r="H34" s="229">
        <f t="shared" ref="H34" si="113">G34+D34</f>
        <v>28.92</v>
      </c>
      <c r="I34" s="9">
        <f t="shared" ref="I34" si="114">H34*0.21</f>
        <v>6.0731999999999999</v>
      </c>
      <c r="J34" s="230">
        <f t="shared" ref="J34" si="115">H34+I34</f>
        <v>34.993200000000002</v>
      </c>
      <c r="L34" s="153">
        <f t="shared" ref="L34" si="116">D34*F34</f>
        <v>7.23</v>
      </c>
      <c r="M34" s="229">
        <f t="shared" ref="M34" si="117">D34+L34</f>
        <v>31.330000000000002</v>
      </c>
      <c r="N34" s="9">
        <f t="shared" ref="N34" si="118">M34*0.21</f>
        <v>6.5792999999999999</v>
      </c>
      <c r="O34" s="230">
        <f t="shared" ref="O34" si="119">M34+N34</f>
        <v>37.909300000000002</v>
      </c>
    </row>
    <row r="35" spans="1:15" x14ac:dyDescent="0.3">
      <c r="A35" s="224" t="s">
        <v>541</v>
      </c>
      <c r="B35" s="344" t="s">
        <v>1593</v>
      </c>
      <c r="C35" s="226" t="s">
        <v>1655</v>
      </c>
      <c r="D35" s="227">
        <v>24.9</v>
      </c>
      <c r="E35" s="228">
        <v>0.2</v>
      </c>
      <c r="F35" s="231">
        <v>0.3</v>
      </c>
      <c r="G35" s="2">
        <f t="shared" ref="G35" si="120">D35*E35</f>
        <v>4.9800000000000004</v>
      </c>
      <c r="H35" s="229">
        <f t="shared" ref="H35" si="121">G35+D35</f>
        <v>29.88</v>
      </c>
      <c r="I35" s="9">
        <f t="shared" ref="I35" si="122">H35*0.21</f>
        <v>6.2747999999999999</v>
      </c>
      <c r="J35" s="230">
        <f t="shared" ref="J35" si="123">H35+I35</f>
        <v>36.154800000000002</v>
      </c>
      <c r="L35" s="153">
        <f t="shared" ref="L35" si="124">D35*F35</f>
        <v>7.4699999999999989</v>
      </c>
      <c r="M35" s="229">
        <f t="shared" ref="M35" si="125">D35+L35</f>
        <v>32.369999999999997</v>
      </c>
      <c r="N35" s="9">
        <f t="shared" ref="N35" si="126">M35*0.21</f>
        <v>6.797699999999999</v>
      </c>
      <c r="O35" s="230">
        <f t="shared" ref="O35" si="127">M35+N35</f>
        <v>39.167699999999996</v>
      </c>
    </row>
    <row r="36" spans="1:15" x14ac:dyDescent="0.3">
      <c r="A36" s="224" t="s">
        <v>542</v>
      </c>
      <c r="B36" s="344" t="s">
        <v>543</v>
      </c>
      <c r="C36" s="226" t="s">
        <v>1655</v>
      </c>
      <c r="D36" s="227">
        <v>25.7</v>
      </c>
      <c r="E36" s="228">
        <v>0.2</v>
      </c>
      <c r="F36" s="231">
        <v>0.3</v>
      </c>
      <c r="G36" s="2">
        <f t="shared" ref="G36" si="128">D36*E36</f>
        <v>5.1400000000000006</v>
      </c>
      <c r="H36" s="229">
        <f t="shared" ref="H36" si="129">G36+D36</f>
        <v>30.84</v>
      </c>
      <c r="I36" s="9">
        <f t="shared" ref="I36" si="130">H36*0.21</f>
        <v>6.4763999999999999</v>
      </c>
      <c r="J36" s="230">
        <f t="shared" ref="J36" si="131">H36+I36</f>
        <v>37.316400000000002</v>
      </c>
      <c r="L36" s="153">
        <f t="shared" ref="L36" si="132">D36*F36</f>
        <v>7.7099999999999991</v>
      </c>
      <c r="M36" s="229">
        <f t="shared" ref="M36" si="133">D36+L36</f>
        <v>33.409999999999997</v>
      </c>
      <c r="N36" s="9">
        <f t="shared" ref="N36" si="134">M36*0.21</f>
        <v>7.0160999999999989</v>
      </c>
      <c r="O36" s="230">
        <f t="shared" ref="O36" si="135">M36+N36</f>
        <v>40.426099999999998</v>
      </c>
    </row>
    <row r="37" spans="1:15" x14ac:dyDescent="0.3">
      <c r="A37" s="224" t="s">
        <v>552</v>
      </c>
      <c r="B37" s="344" t="s">
        <v>553</v>
      </c>
      <c r="C37" s="226" t="s">
        <v>1655</v>
      </c>
      <c r="D37" s="227">
        <v>26.5</v>
      </c>
      <c r="E37" s="228">
        <v>0.2</v>
      </c>
      <c r="F37" s="231">
        <v>0.3</v>
      </c>
      <c r="G37" s="2">
        <f t="shared" ref="G37" si="136">D37*E37</f>
        <v>5.3000000000000007</v>
      </c>
      <c r="H37" s="229">
        <f t="shared" ref="H37" si="137">G37+D37</f>
        <v>31.8</v>
      </c>
      <c r="I37" s="9">
        <f t="shared" ref="I37" si="138">H37*0.21</f>
        <v>6.6779999999999999</v>
      </c>
      <c r="J37" s="230">
        <f t="shared" ref="J37" si="139">H37+I37</f>
        <v>38.478000000000002</v>
      </c>
      <c r="L37" s="153">
        <f t="shared" ref="L37" si="140">D37*F37</f>
        <v>7.9499999999999993</v>
      </c>
      <c r="M37" s="229">
        <f t="shared" ref="M37" si="141">D37+L37</f>
        <v>34.450000000000003</v>
      </c>
      <c r="N37" s="9">
        <f t="shared" ref="N37" si="142">M37*0.21</f>
        <v>7.2345000000000006</v>
      </c>
      <c r="O37" s="230">
        <f t="shared" ref="O37" si="143">M37+N37</f>
        <v>41.6845</v>
      </c>
    </row>
    <row r="38" spans="1:15" x14ac:dyDescent="0.3">
      <c r="A38" s="224" t="s">
        <v>967</v>
      </c>
      <c r="B38" s="344" t="s">
        <v>968</v>
      </c>
      <c r="C38" s="226" t="s">
        <v>1655</v>
      </c>
      <c r="D38" s="227">
        <v>27.3</v>
      </c>
      <c r="E38" s="228">
        <v>0.2</v>
      </c>
      <c r="F38" s="231">
        <v>0.3</v>
      </c>
      <c r="G38" s="2">
        <f t="shared" ref="G38" si="144">D38*E38</f>
        <v>5.4600000000000009</v>
      </c>
      <c r="H38" s="229">
        <f t="shared" ref="H38" si="145">G38+D38</f>
        <v>32.760000000000005</v>
      </c>
      <c r="I38" s="9">
        <f t="shared" ref="I38" si="146">H38*0.21</f>
        <v>6.8796000000000008</v>
      </c>
      <c r="J38" s="230">
        <f t="shared" ref="J38" si="147">H38+I38</f>
        <v>39.639600000000009</v>
      </c>
      <c r="L38" s="153">
        <f t="shared" ref="L38" si="148">D38*F38</f>
        <v>8.19</v>
      </c>
      <c r="M38" s="229">
        <f t="shared" ref="M38" si="149">D38+L38</f>
        <v>35.49</v>
      </c>
      <c r="N38" s="9">
        <f t="shared" ref="N38" si="150">M38*0.21</f>
        <v>7.4529000000000005</v>
      </c>
      <c r="O38" s="230">
        <f t="shared" ref="O38" si="151">M38+N38</f>
        <v>42.942900000000002</v>
      </c>
    </row>
    <row r="39" spans="1:15" x14ac:dyDescent="0.3">
      <c r="A39" s="224" t="s">
        <v>969</v>
      </c>
      <c r="B39" s="344" t="s">
        <v>970</v>
      </c>
      <c r="C39" s="226" t="s">
        <v>1655</v>
      </c>
      <c r="D39" s="227">
        <v>28.1</v>
      </c>
      <c r="E39" s="228">
        <v>0.2</v>
      </c>
      <c r="F39" s="231">
        <v>0.3</v>
      </c>
      <c r="G39" s="2">
        <f t="shared" ref="G39" si="152">D39*E39</f>
        <v>5.620000000000001</v>
      </c>
      <c r="H39" s="229">
        <f t="shared" ref="H39" si="153">G39+D39</f>
        <v>33.72</v>
      </c>
      <c r="I39" s="9">
        <f t="shared" ref="I39" si="154">H39*0.21</f>
        <v>7.0811999999999999</v>
      </c>
      <c r="J39" s="230">
        <f t="shared" ref="J39" si="155">H39+I39</f>
        <v>40.801200000000001</v>
      </c>
      <c r="L39" s="153">
        <f t="shared" ref="L39" si="156">D39*F39</f>
        <v>8.43</v>
      </c>
      <c r="M39" s="229">
        <f t="shared" ref="M39" si="157">D39+L39</f>
        <v>36.53</v>
      </c>
      <c r="N39" s="9">
        <f t="shared" ref="N39" si="158">M39*0.21</f>
        <v>7.6712999999999996</v>
      </c>
      <c r="O39" s="230">
        <f t="shared" ref="O39" si="159">M39+N39</f>
        <v>44.201300000000003</v>
      </c>
    </row>
    <row r="40" spans="1:15" x14ac:dyDescent="0.3">
      <c r="A40" s="224" t="s">
        <v>971</v>
      </c>
      <c r="B40" s="344" t="s">
        <v>972</v>
      </c>
      <c r="C40" s="226" t="s">
        <v>1655</v>
      </c>
      <c r="D40" s="227">
        <v>28.9</v>
      </c>
      <c r="E40" s="228">
        <v>0.2</v>
      </c>
      <c r="F40" s="231">
        <v>0.3</v>
      </c>
      <c r="G40" s="2">
        <f t="shared" ref="G40" si="160">D40*E40</f>
        <v>5.78</v>
      </c>
      <c r="H40" s="229">
        <f t="shared" ref="H40" si="161">G40+D40</f>
        <v>34.68</v>
      </c>
      <c r="I40" s="9">
        <f t="shared" ref="I40" si="162">H40*0.21</f>
        <v>7.2827999999999999</v>
      </c>
      <c r="J40" s="230">
        <f t="shared" ref="J40" si="163">H40+I40</f>
        <v>41.962800000000001</v>
      </c>
      <c r="L40" s="153">
        <f t="shared" ref="L40" si="164">D40*F40</f>
        <v>8.67</v>
      </c>
      <c r="M40" s="229">
        <f t="shared" ref="M40" si="165">D40+L40</f>
        <v>37.57</v>
      </c>
      <c r="N40" s="9">
        <f t="shared" ref="N40" si="166">M40*0.21</f>
        <v>7.8896999999999995</v>
      </c>
      <c r="O40" s="230">
        <f t="shared" ref="O40" si="167">M40+N40</f>
        <v>45.459699999999998</v>
      </c>
    </row>
    <row r="41" spans="1:15" x14ac:dyDescent="0.3">
      <c r="A41" s="224" t="s">
        <v>973</v>
      </c>
      <c r="B41" s="344" t="s">
        <v>974</v>
      </c>
      <c r="C41" s="226" t="s">
        <v>1655</v>
      </c>
      <c r="D41" s="227">
        <v>29.7</v>
      </c>
      <c r="E41" s="228">
        <v>0.2</v>
      </c>
      <c r="F41" s="231">
        <v>0.3</v>
      </c>
      <c r="G41" s="2">
        <f t="shared" ref="G41" si="168">D41*E41</f>
        <v>5.94</v>
      </c>
      <c r="H41" s="229">
        <f t="shared" ref="H41" si="169">G41+D41</f>
        <v>35.64</v>
      </c>
      <c r="I41" s="9">
        <f t="shared" ref="I41" si="170">H41*0.21</f>
        <v>7.4843999999999999</v>
      </c>
      <c r="J41" s="230">
        <f t="shared" ref="J41" si="171">H41+I41</f>
        <v>43.124400000000001</v>
      </c>
      <c r="L41" s="153">
        <f t="shared" ref="L41" si="172">D41*F41</f>
        <v>8.91</v>
      </c>
      <c r="M41" s="229">
        <f t="shared" ref="M41" si="173">D41+L41</f>
        <v>38.61</v>
      </c>
      <c r="N41" s="9">
        <f t="shared" ref="N41" si="174">M41*0.21</f>
        <v>8.1081000000000003</v>
      </c>
      <c r="O41" s="230">
        <f t="shared" ref="O41" si="175">M41+N41</f>
        <v>46.7181</v>
      </c>
    </row>
    <row r="42" spans="1:15" x14ac:dyDescent="0.3">
      <c r="A42" s="224" t="s">
        <v>975</v>
      </c>
      <c r="B42" s="344" t="s">
        <v>976</v>
      </c>
      <c r="C42" s="226" t="s">
        <v>1655</v>
      </c>
      <c r="D42" s="227">
        <v>30.5</v>
      </c>
      <c r="E42" s="228">
        <v>0.2</v>
      </c>
      <c r="F42" s="231">
        <v>0.3</v>
      </c>
      <c r="G42" s="2">
        <f t="shared" ref="G42" si="176">D42*E42</f>
        <v>6.1000000000000005</v>
      </c>
      <c r="H42" s="229">
        <f t="shared" ref="H42" si="177">G42+D42</f>
        <v>36.6</v>
      </c>
      <c r="I42" s="9">
        <f t="shared" ref="I42" si="178">H42*0.21</f>
        <v>7.6859999999999999</v>
      </c>
      <c r="J42" s="230">
        <f t="shared" ref="J42" si="179">H42+I42</f>
        <v>44.286000000000001</v>
      </c>
      <c r="L42" s="153">
        <f t="shared" ref="L42" si="180">D42*F42</f>
        <v>9.15</v>
      </c>
      <c r="M42" s="229">
        <f t="shared" ref="M42" si="181">D42+L42</f>
        <v>39.65</v>
      </c>
      <c r="N42" s="9">
        <f t="shared" ref="N42" si="182">M42*0.21</f>
        <v>8.3264999999999993</v>
      </c>
      <c r="O42" s="230">
        <f t="shared" ref="O42" si="183">M42+N42</f>
        <v>47.976500000000001</v>
      </c>
    </row>
    <row r="43" spans="1:15" x14ac:dyDescent="0.3">
      <c r="A43" s="224" t="s">
        <v>1044</v>
      </c>
      <c r="B43" s="344" t="s">
        <v>1043</v>
      </c>
      <c r="C43" s="226" t="s">
        <v>1655</v>
      </c>
      <c r="D43" s="227">
        <v>31.3</v>
      </c>
      <c r="E43" s="228">
        <v>0.2</v>
      </c>
      <c r="F43" s="231">
        <v>0.3</v>
      </c>
      <c r="G43" s="2">
        <f t="shared" ref="G43" si="184">D43*E43</f>
        <v>6.2600000000000007</v>
      </c>
      <c r="H43" s="229">
        <f t="shared" ref="H43" si="185">G43+D43</f>
        <v>37.56</v>
      </c>
      <c r="I43" s="9">
        <f t="shared" ref="I43" si="186">H43*0.21</f>
        <v>7.8875999999999999</v>
      </c>
      <c r="J43" s="230">
        <f t="shared" ref="J43" si="187">H43+I43</f>
        <v>45.447600000000001</v>
      </c>
      <c r="L43" s="153">
        <f t="shared" ref="L43" si="188">D43*F43</f>
        <v>9.39</v>
      </c>
      <c r="M43" s="229">
        <f t="shared" ref="M43" si="189">D43+L43</f>
        <v>40.69</v>
      </c>
      <c r="N43" s="9">
        <f t="shared" ref="N43" si="190">M43*0.21</f>
        <v>8.5448999999999984</v>
      </c>
      <c r="O43" s="230">
        <f t="shared" ref="O43" si="191">M43+N43</f>
        <v>49.234899999999996</v>
      </c>
    </row>
    <row r="44" spans="1:15" x14ac:dyDescent="0.3">
      <c r="A44" s="224" t="s">
        <v>1072</v>
      </c>
      <c r="B44" s="344" t="s">
        <v>1073</v>
      </c>
      <c r="C44" s="226" t="s">
        <v>1655</v>
      </c>
      <c r="D44" s="227">
        <v>32.1</v>
      </c>
      <c r="E44" s="228">
        <v>0.2</v>
      </c>
      <c r="F44" s="231">
        <v>0.3</v>
      </c>
      <c r="G44" s="2">
        <f t="shared" ref="G44" si="192">D44*E44</f>
        <v>6.4200000000000008</v>
      </c>
      <c r="H44" s="229">
        <f t="shared" ref="H44" si="193">G44+D44</f>
        <v>38.520000000000003</v>
      </c>
      <c r="I44" s="9">
        <f t="shared" ref="I44" si="194">H44*0.21</f>
        <v>8.0891999999999999</v>
      </c>
      <c r="J44" s="230">
        <f t="shared" ref="J44" si="195">H44+I44</f>
        <v>46.609200000000001</v>
      </c>
      <c r="L44" s="153">
        <f t="shared" ref="L44" si="196">D44*F44</f>
        <v>9.6300000000000008</v>
      </c>
      <c r="M44" s="229">
        <f t="shared" ref="M44" si="197">D44+L44</f>
        <v>41.730000000000004</v>
      </c>
      <c r="N44" s="9">
        <f t="shared" ref="N44" si="198">M44*0.21</f>
        <v>8.763300000000001</v>
      </c>
      <c r="O44" s="230">
        <f t="shared" ref="O44" si="199">M44+N44</f>
        <v>50.493300000000005</v>
      </c>
    </row>
    <row r="45" spans="1:15" x14ac:dyDescent="0.3">
      <c r="A45" s="224" t="s">
        <v>1214</v>
      </c>
      <c r="B45" s="344" t="s">
        <v>1215</v>
      </c>
      <c r="C45" s="226" t="s">
        <v>1655</v>
      </c>
      <c r="D45" s="227">
        <v>32.9</v>
      </c>
      <c r="E45" s="228">
        <v>0.2</v>
      </c>
      <c r="F45" s="231">
        <v>0.3</v>
      </c>
      <c r="G45" s="2">
        <f t="shared" ref="G45" si="200">D45*E45</f>
        <v>6.58</v>
      </c>
      <c r="H45" s="229">
        <f t="shared" ref="H45" si="201">G45+D45</f>
        <v>39.479999999999997</v>
      </c>
      <c r="I45" s="9">
        <f t="shared" ref="I45" si="202">H45*0.21</f>
        <v>8.2907999999999991</v>
      </c>
      <c r="J45" s="230">
        <f t="shared" ref="J45" si="203">H45+I45</f>
        <v>47.770799999999994</v>
      </c>
      <c r="L45" s="153">
        <f t="shared" ref="L45" si="204">D45*F45</f>
        <v>9.8699999999999992</v>
      </c>
      <c r="M45" s="229">
        <f t="shared" ref="M45" si="205">D45+L45</f>
        <v>42.769999999999996</v>
      </c>
      <c r="N45" s="9">
        <f t="shared" ref="N45" si="206">M45*0.21</f>
        <v>8.9816999999999982</v>
      </c>
      <c r="O45" s="230">
        <f t="shared" ref="O45" si="207">M45+N45</f>
        <v>51.751699999999992</v>
      </c>
    </row>
    <row r="46" spans="1:15" x14ac:dyDescent="0.3">
      <c r="A46" s="224" t="s">
        <v>1216</v>
      </c>
      <c r="B46" s="344" t="s">
        <v>1217</v>
      </c>
      <c r="C46" s="226" t="s">
        <v>1655</v>
      </c>
      <c r="D46" s="227">
        <v>33.700000000000003</v>
      </c>
      <c r="E46" s="228">
        <v>0.2</v>
      </c>
      <c r="F46" s="231">
        <v>0.3</v>
      </c>
      <c r="G46" s="2">
        <f t="shared" ref="G46" si="208">D46*E46</f>
        <v>6.7400000000000011</v>
      </c>
      <c r="H46" s="229">
        <f t="shared" ref="H46" si="209">G46+D46</f>
        <v>40.440000000000005</v>
      </c>
      <c r="I46" s="9">
        <f t="shared" ref="I46" si="210">H46*0.21</f>
        <v>8.4923999999999999</v>
      </c>
      <c r="J46" s="230">
        <f t="shared" ref="J46" si="211">H46+I46</f>
        <v>48.932400000000001</v>
      </c>
      <c r="L46" s="153">
        <f t="shared" ref="L46" si="212">D46*F46</f>
        <v>10.110000000000001</v>
      </c>
      <c r="M46" s="229">
        <f t="shared" ref="M46" si="213">D46+L46</f>
        <v>43.81</v>
      </c>
      <c r="N46" s="9">
        <f t="shared" ref="N46" si="214">M46*0.21</f>
        <v>9.2001000000000008</v>
      </c>
      <c r="O46" s="230">
        <f t="shared" ref="O46" si="215">M46+N46</f>
        <v>53.010100000000001</v>
      </c>
    </row>
    <row r="47" spans="1:15" x14ac:dyDescent="0.3">
      <c r="A47" s="224" t="s">
        <v>1218</v>
      </c>
      <c r="B47" s="344" t="s">
        <v>1219</v>
      </c>
      <c r="C47" s="226" t="s">
        <v>1655</v>
      </c>
      <c r="D47" s="227">
        <v>34.5</v>
      </c>
      <c r="E47" s="228">
        <v>0.2</v>
      </c>
      <c r="F47" s="231">
        <v>0.3</v>
      </c>
      <c r="G47" s="2">
        <f t="shared" ref="G47" si="216">D47*E47</f>
        <v>6.9</v>
      </c>
      <c r="H47" s="229">
        <f t="shared" ref="H47" si="217">G47+D47</f>
        <v>41.4</v>
      </c>
      <c r="I47" s="9">
        <f t="shared" ref="I47" si="218">H47*0.21</f>
        <v>8.6939999999999991</v>
      </c>
      <c r="J47" s="230">
        <f t="shared" ref="J47" si="219">H47+I47</f>
        <v>50.093999999999994</v>
      </c>
      <c r="L47" s="153">
        <f t="shared" ref="L47" si="220">D47*F47</f>
        <v>10.35</v>
      </c>
      <c r="M47" s="229">
        <f t="shared" ref="M47" si="221">D47+L47</f>
        <v>44.85</v>
      </c>
      <c r="N47" s="9">
        <f t="shared" ref="N47" si="222">M47*0.21</f>
        <v>9.4184999999999999</v>
      </c>
      <c r="O47" s="230">
        <f t="shared" ref="O47" si="223">M47+N47</f>
        <v>54.268500000000003</v>
      </c>
    </row>
    <row r="48" spans="1:15" x14ac:dyDescent="0.3">
      <c r="A48" s="224" t="s">
        <v>1240</v>
      </c>
      <c r="B48" s="344" t="s">
        <v>1241</v>
      </c>
      <c r="C48" s="226" t="s">
        <v>1655</v>
      </c>
      <c r="D48" s="227">
        <v>35.299999999999997</v>
      </c>
      <c r="E48" s="228">
        <v>0.2</v>
      </c>
      <c r="F48" s="231">
        <v>0.3</v>
      </c>
      <c r="G48" s="2">
        <f t="shared" ref="G48" si="224">D48*E48</f>
        <v>7.06</v>
      </c>
      <c r="H48" s="229">
        <f t="shared" ref="H48" si="225">G48+D48</f>
        <v>42.36</v>
      </c>
      <c r="I48" s="9">
        <f t="shared" ref="I48" si="226">H48*0.21</f>
        <v>8.8956</v>
      </c>
      <c r="J48" s="230">
        <f t="shared" ref="J48" si="227">H48+I48</f>
        <v>51.255600000000001</v>
      </c>
      <c r="L48" s="153">
        <f t="shared" ref="L48" si="228">D48*F48</f>
        <v>10.589999999999998</v>
      </c>
      <c r="M48" s="229">
        <f t="shared" ref="M48" si="229">D48+L48</f>
        <v>45.889999999999993</v>
      </c>
      <c r="N48" s="9">
        <f t="shared" ref="N48" si="230">M48*0.21</f>
        <v>9.6368999999999989</v>
      </c>
      <c r="O48" s="230">
        <f t="shared" ref="O48" si="231">M48+N48</f>
        <v>55.526899999999991</v>
      </c>
    </row>
    <row r="49" spans="1:15" x14ac:dyDescent="0.3">
      <c r="A49" s="224" t="s">
        <v>1242</v>
      </c>
      <c r="B49" s="344" t="s">
        <v>1243</v>
      </c>
      <c r="C49" s="226" t="s">
        <v>1655</v>
      </c>
      <c r="D49" s="227">
        <v>36.1</v>
      </c>
      <c r="E49" s="228">
        <v>0.2</v>
      </c>
      <c r="F49" s="231">
        <v>0.3</v>
      </c>
      <c r="G49" s="2">
        <f t="shared" ref="G49" si="232">D49*E49</f>
        <v>7.2200000000000006</v>
      </c>
      <c r="H49" s="229">
        <f t="shared" ref="H49" si="233">G49+D49</f>
        <v>43.32</v>
      </c>
      <c r="I49" s="9">
        <f t="shared" ref="I49" si="234">H49*0.21</f>
        <v>9.0971999999999991</v>
      </c>
      <c r="J49" s="230">
        <f t="shared" ref="J49" si="235">H49+I49</f>
        <v>52.417200000000001</v>
      </c>
      <c r="L49" s="153">
        <f t="shared" ref="L49" si="236">D49*F49</f>
        <v>10.83</v>
      </c>
      <c r="M49" s="229">
        <f t="shared" ref="M49" si="237">D49+L49</f>
        <v>46.93</v>
      </c>
      <c r="N49" s="9">
        <f t="shared" ref="N49" si="238">M49*0.21</f>
        <v>9.8552999999999997</v>
      </c>
      <c r="O49" s="230">
        <f t="shared" ref="O49" si="239">M49+N49</f>
        <v>56.785299999999999</v>
      </c>
    </row>
    <row r="50" spans="1:15" x14ac:dyDescent="0.3">
      <c r="A50" s="224" t="s">
        <v>1244</v>
      </c>
      <c r="B50" s="344" t="s">
        <v>1245</v>
      </c>
      <c r="C50" s="226" t="s">
        <v>1655</v>
      </c>
      <c r="D50" s="227">
        <v>36.9</v>
      </c>
      <c r="E50" s="228">
        <v>0.2</v>
      </c>
      <c r="F50" s="231">
        <v>0.3</v>
      </c>
      <c r="G50" s="2">
        <f t="shared" ref="G50" si="240">D50*E50</f>
        <v>7.38</v>
      </c>
      <c r="H50" s="229">
        <f t="shared" ref="H50" si="241">G50+D50</f>
        <v>44.28</v>
      </c>
      <c r="I50" s="9">
        <f t="shared" ref="I50" si="242">H50*0.21</f>
        <v>9.2988</v>
      </c>
      <c r="J50" s="230">
        <f t="shared" ref="J50" si="243">H50+I50</f>
        <v>53.578800000000001</v>
      </c>
      <c r="L50" s="153">
        <f t="shared" ref="L50" si="244">D50*F50</f>
        <v>11.069999999999999</v>
      </c>
      <c r="M50" s="229">
        <f t="shared" ref="M50" si="245">D50+L50</f>
        <v>47.97</v>
      </c>
      <c r="N50" s="9">
        <f t="shared" ref="N50" si="246">M50*0.21</f>
        <v>10.073699999999999</v>
      </c>
      <c r="O50" s="230">
        <f t="shared" ref="O50" si="247">M50+N50</f>
        <v>58.043700000000001</v>
      </c>
    </row>
    <row r="51" spans="1:15" x14ac:dyDescent="0.3">
      <c r="A51" s="224" t="s">
        <v>1246</v>
      </c>
      <c r="B51" s="344" t="s">
        <v>1247</v>
      </c>
      <c r="C51" s="226" t="s">
        <v>1655</v>
      </c>
      <c r="D51" s="227">
        <v>37.700000000000003</v>
      </c>
      <c r="E51" s="228">
        <v>0.2</v>
      </c>
      <c r="F51" s="231">
        <v>0.3</v>
      </c>
      <c r="G51" s="2">
        <f t="shared" ref="G51" si="248">D51*E51</f>
        <v>7.5400000000000009</v>
      </c>
      <c r="H51" s="229">
        <f t="shared" ref="H51" si="249">G51+D51</f>
        <v>45.24</v>
      </c>
      <c r="I51" s="9">
        <f t="shared" ref="I51" si="250">H51*0.21</f>
        <v>9.5004000000000008</v>
      </c>
      <c r="J51" s="230">
        <f t="shared" ref="J51" si="251">H51+I51</f>
        <v>54.740400000000001</v>
      </c>
      <c r="L51" s="153">
        <f t="shared" ref="L51" si="252">D51*F51</f>
        <v>11.31</v>
      </c>
      <c r="M51" s="229">
        <f t="shared" ref="M51" si="253">D51+L51</f>
        <v>49.010000000000005</v>
      </c>
      <c r="N51" s="9">
        <f t="shared" ref="N51" si="254">M51*0.21</f>
        <v>10.292100000000001</v>
      </c>
      <c r="O51" s="230">
        <f t="shared" ref="O51" si="255">M51+N51</f>
        <v>59.30210000000001</v>
      </c>
    </row>
    <row r="52" spans="1:15" x14ac:dyDescent="0.3">
      <c r="A52" s="224" t="s">
        <v>1385</v>
      </c>
      <c r="B52" s="344" t="s">
        <v>1594</v>
      </c>
      <c r="C52" s="226" t="s">
        <v>1655</v>
      </c>
      <c r="D52" s="227">
        <v>38.5</v>
      </c>
      <c r="E52" s="228">
        <v>0.2</v>
      </c>
      <c r="F52" s="231">
        <v>0.3</v>
      </c>
      <c r="G52" s="2">
        <f t="shared" ref="G52" si="256">D52*E52</f>
        <v>7.7</v>
      </c>
      <c r="H52" s="229">
        <f t="shared" ref="H52" si="257">G52+D52</f>
        <v>46.2</v>
      </c>
      <c r="I52" s="9">
        <f t="shared" ref="I52" si="258">H52*0.21</f>
        <v>9.702</v>
      </c>
      <c r="J52" s="230">
        <f t="shared" ref="J52" si="259">H52+I52</f>
        <v>55.902000000000001</v>
      </c>
      <c r="L52" s="153">
        <f t="shared" ref="L52" si="260">D52*F52</f>
        <v>11.549999999999999</v>
      </c>
      <c r="M52" s="229">
        <f t="shared" ref="M52" si="261">D52+L52</f>
        <v>50.05</v>
      </c>
      <c r="N52" s="9">
        <f t="shared" ref="N52" si="262">M52*0.21</f>
        <v>10.510499999999999</v>
      </c>
      <c r="O52" s="230">
        <f t="shared" ref="O52" si="263">M52+N52</f>
        <v>60.560499999999998</v>
      </c>
    </row>
    <row r="53" spans="1:15" x14ac:dyDescent="0.3">
      <c r="A53" s="224" t="s">
        <v>1398</v>
      </c>
      <c r="B53" s="344" t="s">
        <v>1399</v>
      </c>
      <c r="C53" s="226" t="s">
        <v>1655</v>
      </c>
      <c r="D53" s="227">
        <v>39.299999999999997</v>
      </c>
      <c r="E53" s="228">
        <v>0.2</v>
      </c>
      <c r="F53" s="231">
        <v>0.3</v>
      </c>
      <c r="G53" s="2">
        <f t="shared" ref="G53" si="264">D53*E53</f>
        <v>7.8599999999999994</v>
      </c>
      <c r="H53" s="229">
        <f t="shared" ref="H53" si="265">G53+D53</f>
        <v>47.16</v>
      </c>
      <c r="I53" s="9">
        <f t="shared" ref="I53" si="266">H53*0.21</f>
        <v>9.9035999999999991</v>
      </c>
      <c r="J53" s="230">
        <f t="shared" ref="J53" si="267">H53+I53</f>
        <v>57.063599999999994</v>
      </c>
      <c r="L53" s="153">
        <f t="shared" ref="L53" si="268">D53*F53</f>
        <v>11.79</v>
      </c>
      <c r="M53" s="229">
        <f t="shared" ref="M53" si="269">D53+L53</f>
        <v>51.089999999999996</v>
      </c>
      <c r="N53" s="9">
        <f t="shared" ref="N53" si="270">M53*0.21</f>
        <v>10.728899999999999</v>
      </c>
      <c r="O53" s="230">
        <f t="shared" ref="O53" si="271">M53+N53</f>
        <v>61.818899999999999</v>
      </c>
    </row>
    <row r="54" spans="1:15" x14ac:dyDescent="0.3">
      <c r="A54" s="224" t="s">
        <v>1400</v>
      </c>
      <c r="B54" s="344" t="s">
        <v>1401</v>
      </c>
      <c r="C54" s="226" t="s">
        <v>1655</v>
      </c>
      <c r="D54" s="227">
        <v>40.1</v>
      </c>
      <c r="E54" s="228">
        <v>0.2</v>
      </c>
      <c r="F54" s="231">
        <v>0.3</v>
      </c>
      <c r="G54" s="2">
        <f t="shared" ref="G54" si="272">D54*E54</f>
        <v>8.0200000000000014</v>
      </c>
      <c r="H54" s="229">
        <f t="shared" ref="H54" si="273">G54+D54</f>
        <v>48.120000000000005</v>
      </c>
      <c r="I54" s="9">
        <f t="shared" ref="I54" si="274">H54*0.21</f>
        <v>10.1052</v>
      </c>
      <c r="J54" s="230">
        <f t="shared" ref="J54" si="275">H54+I54</f>
        <v>58.225200000000001</v>
      </c>
      <c r="L54" s="153">
        <f t="shared" ref="L54" si="276">D54*F54</f>
        <v>12.03</v>
      </c>
      <c r="M54" s="229">
        <f t="shared" ref="M54" si="277">D54+L54</f>
        <v>52.13</v>
      </c>
      <c r="N54" s="9">
        <f t="shared" ref="N54" si="278">M54*0.21</f>
        <v>10.9473</v>
      </c>
      <c r="O54" s="230">
        <f t="shared" ref="O54" si="279">M54+N54</f>
        <v>63.077300000000001</v>
      </c>
    </row>
    <row r="55" spans="1:15" x14ac:dyDescent="0.3">
      <c r="A55" s="224" t="s">
        <v>1402</v>
      </c>
      <c r="B55" s="344" t="s">
        <v>1403</v>
      </c>
      <c r="C55" s="226" t="s">
        <v>1655</v>
      </c>
      <c r="D55" s="227">
        <v>40.9</v>
      </c>
      <c r="E55" s="228">
        <v>0.2</v>
      </c>
      <c r="F55" s="231">
        <v>0.3</v>
      </c>
      <c r="G55" s="2">
        <f t="shared" ref="G55" si="280">D55*E55</f>
        <v>8.18</v>
      </c>
      <c r="H55" s="229">
        <f t="shared" ref="H55" si="281">G55+D55</f>
        <v>49.08</v>
      </c>
      <c r="I55" s="9">
        <f t="shared" ref="I55" si="282">H55*0.21</f>
        <v>10.306799999999999</v>
      </c>
      <c r="J55" s="230">
        <f t="shared" ref="J55" si="283">H55+I55</f>
        <v>59.386799999999994</v>
      </c>
      <c r="L55" s="153">
        <f t="shared" ref="L55" si="284">D55*F55</f>
        <v>12.27</v>
      </c>
      <c r="M55" s="229">
        <f t="shared" ref="M55" si="285">D55+L55</f>
        <v>53.17</v>
      </c>
      <c r="N55" s="9">
        <f t="shared" ref="N55" si="286">M55*0.21</f>
        <v>11.165699999999999</v>
      </c>
      <c r="O55" s="230">
        <f t="shared" ref="O55" si="287">M55+N55</f>
        <v>64.335700000000003</v>
      </c>
    </row>
    <row r="56" spans="1:15" x14ac:dyDescent="0.3">
      <c r="A56" s="224" t="s">
        <v>1404</v>
      </c>
      <c r="B56" s="344" t="s">
        <v>1405</v>
      </c>
      <c r="C56" s="226" t="s">
        <v>1655</v>
      </c>
      <c r="D56" s="227">
        <v>41.7</v>
      </c>
      <c r="E56" s="228">
        <v>0.2</v>
      </c>
      <c r="F56" s="231">
        <v>0.3</v>
      </c>
      <c r="G56" s="2">
        <f t="shared" ref="G56" si="288">D56*E56</f>
        <v>8.3400000000000016</v>
      </c>
      <c r="H56" s="229">
        <f t="shared" ref="H56" si="289">G56+D56</f>
        <v>50.040000000000006</v>
      </c>
      <c r="I56" s="9">
        <f t="shared" ref="I56" si="290">H56*0.21</f>
        <v>10.508400000000002</v>
      </c>
      <c r="J56" s="230">
        <f t="shared" ref="J56" si="291">H56+I56</f>
        <v>60.548400000000008</v>
      </c>
      <c r="L56" s="153">
        <f t="shared" ref="L56" si="292">D56*F56</f>
        <v>12.51</v>
      </c>
      <c r="M56" s="229">
        <f t="shared" ref="M56" si="293">D56+L56</f>
        <v>54.21</v>
      </c>
      <c r="N56" s="9">
        <f t="shared" ref="N56" si="294">M56*0.21</f>
        <v>11.3841</v>
      </c>
      <c r="O56" s="230">
        <f t="shared" ref="O56" si="295">M56+N56</f>
        <v>65.594099999999997</v>
      </c>
    </row>
    <row r="57" spans="1:15" x14ac:dyDescent="0.3">
      <c r="A57" s="224" t="s">
        <v>1408</v>
      </c>
      <c r="B57" s="344" t="s">
        <v>1409</v>
      </c>
      <c r="C57" s="226" t="s">
        <v>1655</v>
      </c>
      <c r="D57" s="227">
        <v>42.5</v>
      </c>
      <c r="E57" s="228">
        <v>0.2</v>
      </c>
      <c r="F57" s="231">
        <v>0.3</v>
      </c>
      <c r="G57" s="2">
        <f t="shared" ref="G57" si="296">D57*E57</f>
        <v>8.5</v>
      </c>
      <c r="H57" s="229">
        <f t="shared" ref="H57" si="297">G57+D57</f>
        <v>51</v>
      </c>
      <c r="I57" s="9">
        <f t="shared" ref="I57" si="298">H57*0.21</f>
        <v>10.709999999999999</v>
      </c>
      <c r="J57" s="230">
        <f t="shared" ref="J57" si="299">H57+I57</f>
        <v>61.71</v>
      </c>
      <c r="L57" s="153">
        <f t="shared" ref="L57" si="300">D57*F57</f>
        <v>12.75</v>
      </c>
      <c r="M57" s="229">
        <f t="shared" ref="M57" si="301">D57+L57</f>
        <v>55.25</v>
      </c>
      <c r="N57" s="9">
        <f t="shared" ref="N57" si="302">M57*0.21</f>
        <v>11.602499999999999</v>
      </c>
      <c r="O57" s="230">
        <f t="shared" ref="O57" si="303">M57+N57</f>
        <v>66.852499999999992</v>
      </c>
    </row>
    <row r="58" spans="1:15" x14ac:dyDescent="0.3">
      <c r="A58" s="224" t="s">
        <v>1424</v>
      </c>
      <c r="B58" s="344" t="s">
        <v>1425</v>
      </c>
      <c r="C58" s="226" t="s">
        <v>1655</v>
      </c>
      <c r="D58" s="227">
        <v>43.3</v>
      </c>
      <c r="E58" s="228">
        <v>0.2</v>
      </c>
      <c r="F58" s="231">
        <v>0.3</v>
      </c>
      <c r="G58" s="2">
        <f t="shared" ref="G58" si="304">D58*E58</f>
        <v>8.66</v>
      </c>
      <c r="H58" s="229">
        <f t="shared" ref="H58" si="305">G58+D58</f>
        <v>51.959999999999994</v>
      </c>
      <c r="I58" s="9">
        <f t="shared" ref="I58" si="306">H58*0.21</f>
        <v>10.911599999999998</v>
      </c>
      <c r="J58" s="230">
        <f t="shared" ref="J58" si="307">H58+I58</f>
        <v>62.871599999999994</v>
      </c>
      <c r="L58" s="153">
        <f t="shared" ref="L58" si="308">D58*F58</f>
        <v>12.989999999999998</v>
      </c>
      <c r="M58" s="229">
        <f t="shared" ref="M58" si="309">D58+L58</f>
        <v>56.289999999999992</v>
      </c>
      <c r="N58" s="9">
        <f t="shared" ref="N58" si="310">M58*0.21</f>
        <v>11.820899999999998</v>
      </c>
      <c r="O58" s="230">
        <f t="shared" ref="O58" si="311">M58+N58</f>
        <v>68.110899999999987</v>
      </c>
    </row>
    <row r="59" spans="1:15" x14ac:dyDescent="0.3">
      <c r="A59" s="224" t="s">
        <v>1473</v>
      </c>
      <c r="B59" s="344" t="s">
        <v>1474</v>
      </c>
      <c r="C59" s="226" t="s">
        <v>1655</v>
      </c>
      <c r="D59" s="227">
        <v>44.1</v>
      </c>
      <c r="E59" s="228">
        <v>0.2</v>
      </c>
      <c r="F59" s="231">
        <v>0.3</v>
      </c>
      <c r="G59" s="2">
        <f t="shared" ref="G59" si="312">D59*E59</f>
        <v>8.82</v>
      </c>
      <c r="H59" s="229">
        <f t="shared" ref="H59" si="313">G59+D59</f>
        <v>52.92</v>
      </c>
      <c r="I59" s="9">
        <f t="shared" ref="I59" si="314">H59*0.21</f>
        <v>11.113199999999999</v>
      </c>
      <c r="J59" s="230">
        <f t="shared" ref="J59" si="315">H59+I59</f>
        <v>64.033199999999994</v>
      </c>
      <c r="L59" s="153">
        <f t="shared" ref="L59" si="316">D59*F59</f>
        <v>13.23</v>
      </c>
      <c r="M59" s="229">
        <f t="shared" ref="M59" si="317">D59+L59</f>
        <v>57.33</v>
      </c>
      <c r="N59" s="9">
        <f t="shared" ref="N59" si="318">M59*0.21</f>
        <v>12.039299999999999</v>
      </c>
      <c r="O59" s="230">
        <f t="shared" ref="O59" si="319">M59+N59</f>
        <v>69.369299999999996</v>
      </c>
    </row>
    <row r="60" spans="1:15" x14ac:dyDescent="0.3">
      <c r="A60" s="224" t="s">
        <v>1475</v>
      </c>
      <c r="B60" s="344" t="s">
        <v>1476</v>
      </c>
      <c r="C60" s="226" t="s">
        <v>1655</v>
      </c>
      <c r="D60" s="227">
        <v>44.9</v>
      </c>
      <c r="E60" s="228">
        <v>0.2</v>
      </c>
      <c r="F60" s="231">
        <v>0.3</v>
      </c>
      <c r="G60" s="2">
        <f t="shared" ref="G60" si="320">D60*E60</f>
        <v>8.98</v>
      </c>
      <c r="H60" s="229">
        <f t="shared" ref="H60" si="321">G60+D60</f>
        <v>53.879999999999995</v>
      </c>
      <c r="I60" s="9">
        <f t="shared" ref="I60" si="322">H60*0.21</f>
        <v>11.314799999999998</v>
      </c>
      <c r="J60" s="230">
        <f t="shared" ref="J60" si="323">H60+I60</f>
        <v>65.194799999999987</v>
      </c>
      <c r="L60" s="153">
        <f t="shared" ref="L60" si="324">D60*F60</f>
        <v>13.469999999999999</v>
      </c>
      <c r="M60" s="229">
        <f t="shared" ref="M60" si="325">D60+L60</f>
        <v>58.37</v>
      </c>
      <c r="N60" s="9">
        <f t="shared" ref="N60" si="326">M60*0.21</f>
        <v>12.2577</v>
      </c>
      <c r="O60" s="230">
        <f t="shared" ref="O60" si="327">M60+N60</f>
        <v>70.627700000000004</v>
      </c>
    </row>
    <row r="61" spans="1:15" x14ac:dyDescent="0.3">
      <c r="A61" s="224" t="s">
        <v>1477</v>
      </c>
      <c r="B61" s="344" t="s">
        <v>1478</v>
      </c>
      <c r="C61" s="226" t="s">
        <v>1655</v>
      </c>
      <c r="D61" s="227">
        <v>45.7</v>
      </c>
      <c r="E61" s="228">
        <v>0.2</v>
      </c>
      <c r="F61" s="231">
        <v>0.3</v>
      </c>
      <c r="G61" s="2">
        <f t="shared" ref="G61" si="328">D61*E61</f>
        <v>9.14</v>
      </c>
      <c r="H61" s="229">
        <f t="shared" ref="H61" si="329">G61+D61</f>
        <v>54.84</v>
      </c>
      <c r="I61" s="9">
        <f t="shared" ref="I61" si="330">H61*0.21</f>
        <v>11.516400000000001</v>
      </c>
      <c r="J61" s="230">
        <f t="shared" ref="J61" si="331">H61+I61</f>
        <v>66.356400000000008</v>
      </c>
      <c r="L61" s="153">
        <f t="shared" ref="L61" si="332">D61*F61</f>
        <v>13.71</v>
      </c>
      <c r="M61" s="229">
        <f t="shared" ref="M61" si="333">D61+L61</f>
        <v>59.410000000000004</v>
      </c>
      <c r="N61" s="9">
        <f t="shared" ref="N61" si="334">M61*0.21</f>
        <v>12.476100000000001</v>
      </c>
      <c r="O61" s="230">
        <f t="shared" ref="O61" si="335">M61+N61</f>
        <v>71.886099999999999</v>
      </c>
    </row>
    <row r="62" spans="1:15" x14ac:dyDescent="0.3">
      <c r="A62" s="224" t="s">
        <v>1479</v>
      </c>
      <c r="B62" s="344" t="s">
        <v>1480</v>
      </c>
      <c r="C62" s="226" t="s">
        <v>1655</v>
      </c>
      <c r="D62" s="227">
        <v>46.5</v>
      </c>
      <c r="E62" s="228">
        <v>0.2</v>
      </c>
      <c r="F62" s="231">
        <v>0.3</v>
      </c>
      <c r="G62" s="2">
        <f t="shared" ref="G62" si="336">D62*E62</f>
        <v>9.3000000000000007</v>
      </c>
      <c r="H62" s="229">
        <f t="shared" ref="H62" si="337">G62+D62</f>
        <v>55.8</v>
      </c>
      <c r="I62" s="9">
        <f t="shared" ref="I62" si="338">H62*0.21</f>
        <v>11.717999999999998</v>
      </c>
      <c r="J62" s="230">
        <f t="shared" ref="J62" si="339">H62+I62</f>
        <v>67.518000000000001</v>
      </c>
      <c r="L62" s="153">
        <f t="shared" ref="L62" si="340">D62*F62</f>
        <v>13.95</v>
      </c>
      <c r="M62" s="229">
        <f t="shared" ref="M62" si="341">D62+L62</f>
        <v>60.45</v>
      </c>
      <c r="N62" s="9">
        <f t="shared" ref="N62" si="342">M62*0.21</f>
        <v>12.6945</v>
      </c>
      <c r="O62" s="230">
        <f t="shared" ref="O62" si="343">M62+N62</f>
        <v>73.144500000000008</v>
      </c>
    </row>
    <row r="63" spans="1:15" x14ac:dyDescent="0.3">
      <c r="A63" s="224" t="s">
        <v>1625</v>
      </c>
      <c r="B63" s="344" t="s">
        <v>1626</v>
      </c>
      <c r="C63" s="226" t="s">
        <v>1655</v>
      </c>
      <c r="D63" s="227">
        <v>47.3</v>
      </c>
      <c r="E63" s="228">
        <v>0.2</v>
      </c>
      <c r="F63" s="231">
        <v>0.3</v>
      </c>
      <c r="G63" s="2">
        <f t="shared" ref="G63" si="344">D63*E63</f>
        <v>9.4599999999999991</v>
      </c>
      <c r="H63" s="229">
        <f t="shared" ref="H63" si="345">G63+D63</f>
        <v>56.76</v>
      </c>
      <c r="I63" s="9">
        <f t="shared" ref="I63" si="346">H63*0.21</f>
        <v>11.919599999999999</v>
      </c>
      <c r="J63" s="230">
        <f t="shared" ref="J63" si="347">H63+I63</f>
        <v>68.679599999999994</v>
      </c>
      <c r="L63" s="153">
        <f t="shared" ref="L63" si="348">D63*F63</f>
        <v>14.19</v>
      </c>
      <c r="M63" s="229">
        <f t="shared" ref="M63" si="349">D63+L63</f>
        <v>61.489999999999995</v>
      </c>
      <c r="N63" s="9">
        <f t="shared" ref="N63" si="350">M63*0.21</f>
        <v>12.912899999999999</v>
      </c>
      <c r="O63" s="230">
        <f t="shared" ref="O63" si="351">M63+N63</f>
        <v>74.402899999999988</v>
      </c>
    </row>
    <row r="64" spans="1:15" x14ac:dyDescent="0.3">
      <c r="A64" s="224" t="s">
        <v>1627</v>
      </c>
      <c r="B64" s="344" t="s">
        <v>1628</v>
      </c>
      <c r="C64" s="226" t="s">
        <v>1655</v>
      </c>
      <c r="D64" s="227">
        <v>48.1</v>
      </c>
      <c r="E64" s="228">
        <v>0.2</v>
      </c>
      <c r="F64" s="231">
        <v>0.3</v>
      </c>
      <c r="G64" s="2">
        <f t="shared" ref="G64" si="352">D64*E64</f>
        <v>9.620000000000001</v>
      </c>
      <c r="H64" s="229">
        <f t="shared" ref="H64" si="353">G64+D64</f>
        <v>57.72</v>
      </c>
      <c r="I64" s="9">
        <f t="shared" ref="I64" si="354">H64*0.21</f>
        <v>12.1212</v>
      </c>
      <c r="J64" s="230">
        <f t="shared" ref="J64" si="355">H64+I64</f>
        <v>69.841200000000001</v>
      </c>
      <c r="L64" s="153">
        <f t="shared" ref="L64" si="356">D64*F64</f>
        <v>14.43</v>
      </c>
      <c r="M64" s="229">
        <f t="shared" ref="M64" si="357">D64+L64</f>
        <v>62.53</v>
      </c>
      <c r="N64" s="9">
        <f t="shared" ref="N64" si="358">M64*0.21</f>
        <v>13.1313</v>
      </c>
      <c r="O64" s="230">
        <f t="shared" ref="O64" si="359">M64+N64</f>
        <v>75.661299999999997</v>
      </c>
    </row>
    <row r="66" spans="1:15" x14ac:dyDescent="0.3">
      <c r="A66" s="316" t="s">
        <v>508</v>
      </c>
      <c r="B66" s="317" t="s">
        <v>461</v>
      </c>
      <c r="C66" s="318" t="s">
        <v>1655</v>
      </c>
      <c r="D66" s="319">
        <v>0.13</v>
      </c>
      <c r="E66" s="320">
        <v>0.05</v>
      </c>
      <c r="F66" s="321">
        <v>0.08</v>
      </c>
      <c r="G66" s="2">
        <f t="shared" ref="G66" si="360">D66*E66</f>
        <v>6.5000000000000006E-3</v>
      </c>
      <c r="H66" s="323">
        <f t="shared" ref="H66" si="361">G66+D66</f>
        <v>0.13650000000000001</v>
      </c>
      <c r="I66" s="9">
        <f t="shared" ref="I66" si="362">H66*0.21</f>
        <v>2.8665E-2</v>
      </c>
      <c r="J66" s="322">
        <f t="shared" ref="J66" si="363">H66+I66</f>
        <v>0.16516500000000001</v>
      </c>
      <c r="L66" s="153">
        <f t="shared" ref="L66" si="364">D66*F66</f>
        <v>1.0400000000000001E-2</v>
      </c>
      <c r="M66" s="323">
        <f t="shared" ref="M66" si="365">D66+L66</f>
        <v>0.1404</v>
      </c>
      <c r="N66" s="9">
        <f t="shared" ref="N66" si="366">M66*0.21</f>
        <v>2.9484E-2</v>
      </c>
      <c r="O66" s="322">
        <f t="shared" ref="O66" si="367">M66+N66</f>
        <v>0.16988400000000001</v>
      </c>
    </row>
    <row r="67" spans="1:15" x14ac:dyDescent="0.3">
      <c r="A67" s="316" t="s">
        <v>520</v>
      </c>
      <c r="B67" s="317" t="s">
        <v>1583</v>
      </c>
      <c r="C67" s="318" t="s">
        <v>1655</v>
      </c>
      <c r="D67" s="319">
        <v>0.25</v>
      </c>
      <c r="E67" s="320">
        <v>0.05</v>
      </c>
      <c r="F67" s="321">
        <v>0.08</v>
      </c>
      <c r="G67" s="2">
        <f t="shared" ref="G67" si="368">D67*E67</f>
        <v>1.2500000000000001E-2</v>
      </c>
      <c r="H67" s="323">
        <f t="shared" ref="H67" si="369">G67+D67</f>
        <v>0.26250000000000001</v>
      </c>
      <c r="I67" s="9">
        <f t="shared" ref="I67" si="370">H67*0.21</f>
        <v>5.5125E-2</v>
      </c>
      <c r="J67" s="322">
        <f t="shared" ref="J67" si="371">H67+I67</f>
        <v>0.31762499999999999</v>
      </c>
      <c r="L67" s="153">
        <f t="shared" ref="L67" si="372">D67*F67</f>
        <v>0.02</v>
      </c>
      <c r="M67" s="323">
        <f t="shared" ref="M67" si="373">D67+L67</f>
        <v>0.27</v>
      </c>
      <c r="N67" s="9">
        <f t="shared" ref="N67" si="374">M67*0.21</f>
        <v>5.67E-2</v>
      </c>
      <c r="O67" s="322">
        <f t="shared" ref="O67" si="375">M67+N67</f>
        <v>0.32669999999999999</v>
      </c>
    </row>
    <row r="68" spans="1:15" x14ac:dyDescent="0.3">
      <c r="A68" s="316" t="s">
        <v>523</v>
      </c>
      <c r="B68" s="317" t="s">
        <v>1595</v>
      </c>
      <c r="C68" s="318" t="s">
        <v>1655</v>
      </c>
      <c r="D68" s="319">
        <v>0.37</v>
      </c>
      <c r="E68" s="320">
        <v>0.05</v>
      </c>
      <c r="F68" s="321">
        <v>0.08</v>
      </c>
      <c r="G68" s="2">
        <f t="shared" ref="G68" si="376">D68*E68</f>
        <v>1.8499999999999999E-2</v>
      </c>
      <c r="H68" s="323">
        <f t="shared" ref="H68" si="377">G68+D68</f>
        <v>0.38850000000000001</v>
      </c>
      <c r="I68" s="9">
        <f t="shared" ref="I68" si="378">H68*0.21</f>
        <v>8.1585000000000005E-2</v>
      </c>
      <c r="J68" s="322">
        <f t="shared" ref="J68" si="379">H68+I68</f>
        <v>0.47008500000000003</v>
      </c>
      <c r="L68" s="153">
        <f t="shared" ref="L68" si="380">D68*F68</f>
        <v>2.9600000000000001E-2</v>
      </c>
      <c r="M68" s="323">
        <f t="shared" ref="M68" si="381">D68+L68</f>
        <v>0.39960000000000001</v>
      </c>
      <c r="N68" s="9">
        <f t="shared" ref="N68" si="382">M68*0.21</f>
        <v>8.3916000000000004E-2</v>
      </c>
      <c r="O68" s="322">
        <f t="shared" ref="O68" si="383">M68+N68</f>
        <v>0.483516</v>
      </c>
    </row>
    <row r="69" spans="1:15" x14ac:dyDescent="0.3">
      <c r="A69" s="316" t="s">
        <v>544</v>
      </c>
      <c r="B69" s="317" t="s">
        <v>545</v>
      </c>
      <c r="C69" s="318" t="s">
        <v>1655</v>
      </c>
      <c r="D69" s="319">
        <v>0.49</v>
      </c>
      <c r="E69" s="320">
        <v>0.05</v>
      </c>
      <c r="F69" s="321">
        <v>0.08</v>
      </c>
      <c r="G69" s="2">
        <f t="shared" ref="G69" si="384">D69*E69</f>
        <v>2.4500000000000001E-2</v>
      </c>
      <c r="H69" s="323">
        <f t="shared" ref="H69" si="385">G69+D69</f>
        <v>0.51449999999999996</v>
      </c>
      <c r="I69" s="9">
        <f t="shared" ref="I69" si="386">H69*0.21</f>
        <v>0.10804499999999999</v>
      </c>
      <c r="J69" s="322">
        <f t="shared" ref="J69" si="387">H69+I69</f>
        <v>0.6225449999999999</v>
      </c>
      <c r="L69" s="153">
        <f t="shared" ref="L69" si="388">D69*F69</f>
        <v>3.9199999999999999E-2</v>
      </c>
      <c r="M69" s="323">
        <f t="shared" ref="M69" si="389">D69+L69</f>
        <v>0.5292</v>
      </c>
      <c r="N69" s="9">
        <f t="shared" ref="N69" si="390">M69*0.21</f>
        <v>0.11113199999999999</v>
      </c>
      <c r="O69" s="322">
        <f t="shared" ref="O69" si="391">M69+N69</f>
        <v>0.64033200000000001</v>
      </c>
    </row>
    <row r="70" spans="1:15" x14ac:dyDescent="0.3">
      <c r="A70" s="316" t="s">
        <v>546</v>
      </c>
      <c r="B70" s="317" t="s">
        <v>547</v>
      </c>
      <c r="C70" s="318" t="s">
        <v>1655</v>
      </c>
      <c r="D70" s="319">
        <v>0.61</v>
      </c>
      <c r="E70" s="320">
        <v>0.05</v>
      </c>
      <c r="F70" s="321">
        <v>0.08</v>
      </c>
      <c r="G70" s="2">
        <f t="shared" ref="G70" si="392">D70*E70</f>
        <v>3.0499999999999999E-2</v>
      </c>
      <c r="H70" s="323">
        <f t="shared" ref="H70" si="393">G70+D70</f>
        <v>0.64049999999999996</v>
      </c>
      <c r="I70" s="9">
        <f t="shared" ref="I70" si="394">H70*0.21</f>
        <v>0.13450499999999999</v>
      </c>
      <c r="J70" s="322">
        <f t="shared" ref="J70" si="395">H70+I70</f>
        <v>0.77500499999999994</v>
      </c>
      <c r="L70" s="153">
        <f t="shared" ref="L70" si="396">D70*F70</f>
        <v>4.8800000000000003E-2</v>
      </c>
      <c r="M70" s="323">
        <f t="shared" ref="M70" si="397">D70+L70</f>
        <v>0.65879999999999994</v>
      </c>
      <c r="N70" s="9">
        <f t="shared" ref="N70" si="398">M70*0.21</f>
        <v>0.13834799999999997</v>
      </c>
      <c r="O70" s="322">
        <f t="shared" ref="O70" si="399">M70+N70</f>
        <v>0.79714799999999997</v>
      </c>
    </row>
    <row r="71" spans="1:15" x14ac:dyDescent="0.3">
      <c r="A71" s="316" t="s">
        <v>548</v>
      </c>
      <c r="B71" s="317" t="s">
        <v>1584</v>
      </c>
      <c r="C71" s="318" t="s">
        <v>1655</v>
      </c>
      <c r="D71" s="319">
        <v>0.73</v>
      </c>
      <c r="E71" s="320">
        <v>0.05</v>
      </c>
      <c r="F71" s="321">
        <v>0.08</v>
      </c>
      <c r="G71" s="2">
        <f t="shared" ref="G71" si="400">D71*E71</f>
        <v>3.6499999999999998E-2</v>
      </c>
      <c r="H71" s="323">
        <f t="shared" ref="H71" si="401">G71+D71</f>
        <v>0.76649999999999996</v>
      </c>
      <c r="I71" s="9">
        <f t="shared" ref="I71" si="402">H71*0.21</f>
        <v>0.160965</v>
      </c>
      <c r="J71" s="322">
        <f t="shared" ref="J71" si="403">H71+I71</f>
        <v>0.92746499999999998</v>
      </c>
      <c r="L71" s="153">
        <f t="shared" ref="L71" si="404">D71*F71</f>
        <v>5.8400000000000001E-2</v>
      </c>
      <c r="M71" s="323">
        <f t="shared" ref="M71" si="405">D71+L71</f>
        <v>0.78839999999999999</v>
      </c>
      <c r="N71" s="9">
        <f t="shared" ref="N71" si="406">M71*0.21</f>
        <v>0.16556399999999999</v>
      </c>
      <c r="O71" s="322">
        <f t="shared" ref="O71" si="407">M71+N71</f>
        <v>0.95396400000000003</v>
      </c>
    </row>
    <row r="72" spans="1:15" x14ac:dyDescent="0.3">
      <c r="A72" s="316" t="s">
        <v>549</v>
      </c>
      <c r="B72" s="317" t="s">
        <v>1585</v>
      </c>
      <c r="C72" s="318" t="s">
        <v>1655</v>
      </c>
      <c r="D72" s="319">
        <v>0.85</v>
      </c>
      <c r="E72" s="320">
        <v>0.05</v>
      </c>
      <c r="F72" s="321">
        <v>0.08</v>
      </c>
      <c r="G72" s="2">
        <f t="shared" ref="G72" si="408">D72*E72</f>
        <v>4.2500000000000003E-2</v>
      </c>
      <c r="H72" s="323">
        <f t="shared" ref="H72" si="409">G72+D72</f>
        <v>0.89249999999999996</v>
      </c>
      <c r="I72" s="9">
        <f t="shared" ref="I72" si="410">H72*0.21</f>
        <v>0.18742499999999998</v>
      </c>
      <c r="J72" s="322">
        <f t="shared" ref="J72" si="411">H72+I72</f>
        <v>1.079925</v>
      </c>
      <c r="L72" s="153">
        <f t="shared" ref="L72" si="412">D72*F72</f>
        <v>6.8000000000000005E-2</v>
      </c>
      <c r="M72" s="323">
        <f t="shared" ref="M72" si="413">D72+L72</f>
        <v>0.91799999999999993</v>
      </c>
      <c r="N72" s="9">
        <f t="shared" ref="N72" si="414">M72*0.21</f>
        <v>0.19277999999999998</v>
      </c>
      <c r="O72" s="322">
        <f t="shared" ref="O72" si="415">M72+N72</f>
        <v>1.1107799999999999</v>
      </c>
    </row>
    <row r="74" spans="1:15" x14ac:dyDescent="0.3">
      <c r="A74" s="333" t="s">
        <v>157</v>
      </c>
      <c r="B74" s="340" t="s">
        <v>493</v>
      </c>
      <c r="C74" s="334" t="s">
        <v>1655</v>
      </c>
      <c r="D74" s="335">
        <v>4.2</v>
      </c>
      <c r="E74" s="336">
        <v>0.86</v>
      </c>
      <c r="F74" s="337">
        <v>0.46</v>
      </c>
      <c r="G74" s="2">
        <f t="shared" ref="G74" si="416">D74*E74</f>
        <v>3.6120000000000001</v>
      </c>
      <c r="H74" s="338">
        <f t="shared" ref="H74" si="417">G74+D74</f>
        <v>7.8120000000000003</v>
      </c>
      <c r="I74" s="9">
        <f t="shared" ref="I74" si="418">H74*0.21</f>
        <v>1.64052</v>
      </c>
      <c r="J74" s="339">
        <f t="shared" ref="J74" si="419">H74+I74</f>
        <v>9.4525199999999998</v>
      </c>
      <c r="L74" s="153">
        <f t="shared" ref="L74" si="420">D74*F74</f>
        <v>1.9320000000000002</v>
      </c>
      <c r="M74" s="338">
        <f t="shared" ref="M74" si="421">D74+L74</f>
        <v>6.1320000000000006</v>
      </c>
      <c r="N74" s="9">
        <f t="shared" ref="N74" si="422">M74*0.21</f>
        <v>1.28772</v>
      </c>
      <c r="O74" s="339">
        <f t="shared" ref="O74" si="423">M74+N74</f>
        <v>7.4197200000000008</v>
      </c>
    </row>
    <row r="75" spans="1:15" x14ac:dyDescent="0.3">
      <c r="A75" s="333" t="s">
        <v>381</v>
      </c>
      <c r="B75" s="340" t="s">
        <v>1586</v>
      </c>
      <c r="C75" s="334" t="s">
        <v>1655</v>
      </c>
      <c r="D75" s="335">
        <v>4.9000000000000004</v>
      </c>
      <c r="E75" s="336">
        <v>0.86</v>
      </c>
      <c r="F75" s="337">
        <v>0.46</v>
      </c>
      <c r="G75" s="2">
        <f t="shared" ref="G75" si="424">D75*E75</f>
        <v>4.2140000000000004</v>
      </c>
      <c r="H75" s="338">
        <f t="shared" ref="H75:H76" si="425">G75+D75</f>
        <v>9.1140000000000008</v>
      </c>
      <c r="I75" s="9">
        <f t="shared" ref="I75" si="426">H75*0.21</f>
        <v>1.9139400000000002</v>
      </c>
      <c r="J75" s="339">
        <f t="shared" ref="J75" si="427">H75+I75</f>
        <v>11.027940000000001</v>
      </c>
      <c r="L75" s="153">
        <f t="shared" ref="L75" si="428">D75*F75</f>
        <v>2.2540000000000004</v>
      </c>
      <c r="M75" s="338">
        <f t="shared" ref="M75" si="429">D75+L75</f>
        <v>7.1540000000000008</v>
      </c>
      <c r="N75" s="9">
        <f t="shared" ref="N75" si="430">M75*0.21</f>
        <v>1.50234</v>
      </c>
      <c r="O75" s="339">
        <f t="shared" ref="O75" si="431">M75+N75</f>
        <v>8.6563400000000001</v>
      </c>
    </row>
    <row r="76" spans="1:15" x14ac:dyDescent="0.3">
      <c r="A76" s="333" t="s">
        <v>437</v>
      </c>
      <c r="B76" s="340" t="s">
        <v>525</v>
      </c>
      <c r="C76" s="334" t="s">
        <v>1655</v>
      </c>
      <c r="D76" s="335">
        <v>5.6</v>
      </c>
      <c r="E76" s="336">
        <v>0.86</v>
      </c>
      <c r="F76" s="337">
        <v>0.46</v>
      </c>
      <c r="G76" s="2">
        <f t="shared" ref="G76" si="432">D76*E76</f>
        <v>4.8159999999999998</v>
      </c>
      <c r="H76" s="338">
        <f t="shared" si="425"/>
        <v>10.416</v>
      </c>
      <c r="I76" s="9">
        <f t="shared" ref="I76" si="433">H76*0.21</f>
        <v>2.18736</v>
      </c>
      <c r="J76" s="339">
        <f t="shared" ref="J76" si="434">H76+I76</f>
        <v>12.60336</v>
      </c>
      <c r="L76" s="153">
        <f t="shared" ref="L76" si="435">D76*F76</f>
        <v>2.5760000000000001</v>
      </c>
      <c r="M76" s="338">
        <f t="shared" ref="M76" si="436">D76+L76</f>
        <v>8.1760000000000002</v>
      </c>
      <c r="N76" s="9">
        <f t="shared" ref="N76" si="437">M76*0.21</f>
        <v>1.71696</v>
      </c>
      <c r="O76" s="339">
        <f t="shared" ref="O76" si="438">M76+N76</f>
        <v>9.8929600000000004</v>
      </c>
    </row>
    <row r="78" spans="1:15" x14ac:dyDescent="0.3">
      <c r="A78" s="11" t="s">
        <v>460</v>
      </c>
      <c r="B78" s="12" t="s">
        <v>136</v>
      </c>
      <c r="C78" s="13" t="s">
        <v>1655</v>
      </c>
      <c r="D78" s="14">
        <v>65.64</v>
      </c>
      <c r="E78" s="15">
        <v>0.5</v>
      </c>
      <c r="F78" s="183">
        <v>0.2</v>
      </c>
      <c r="G78" s="2">
        <f t="shared" ref="G78:G88" si="439">D78*E78</f>
        <v>32.82</v>
      </c>
      <c r="H78" s="65">
        <f t="shared" ref="H78:H88" si="440">G78+D78</f>
        <v>98.460000000000008</v>
      </c>
      <c r="I78" s="9">
        <f t="shared" ref="I78:I88" si="441">H78*0.21</f>
        <v>20.676600000000001</v>
      </c>
      <c r="J78" s="66">
        <f t="shared" ref="J78:J88" si="442">H78+I78</f>
        <v>119.13660000000002</v>
      </c>
      <c r="L78" s="153">
        <f t="shared" ref="L78:L88" si="443">D78*F78</f>
        <v>13.128</v>
      </c>
      <c r="M78" s="65">
        <f t="shared" ref="M78:M88" si="444">D78+L78</f>
        <v>78.768000000000001</v>
      </c>
      <c r="N78" s="9">
        <f t="shared" ref="N78:N88" si="445">M78*0.21</f>
        <v>16.54128</v>
      </c>
      <c r="O78" s="66">
        <f t="shared" ref="O78:O88" si="446">M78+N78</f>
        <v>95.309280000000001</v>
      </c>
    </row>
    <row r="79" spans="1:15" x14ac:dyDescent="0.3">
      <c r="A79" s="11" t="s">
        <v>509</v>
      </c>
      <c r="B79" s="12" t="s">
        <v>147</v>
      </c>
      <c r="C79" s="13" t="s">
        <v>1655</v>
      </c>
      <c r="D79" s="14">
        <v>68.900000000000006</v>
      </c>
      <c r="E79" s="15">
        <v>0.5</v>
      </c>
      <c r="F79" s="183">
        <v>0.2</v>
      </c>
      <c r="G79" s="2">
        <f t="shared" si="439"/>
        <v>34.450000000000003</v>
      </c>
      <c r="H79" s="65">
        <f t="shared" si="440"/>
        <v>103.35000000000001</v>
      </c>
      <c r="I79" s="9">
        <f t="shared" si="441"/>
        <v>21.703500000000002</v>
      </c>
      <c r="J79" s="66">
        <f t="shared" si="442"/>
        <v>125.05350000000001</v>
      </c>
      <c r="L79" s="153">
        <f t="shared" si="443"/>
        <v>13.780000000000001</v>
      </c>
      <c r="M79" s="65">
        <f t="shared" si="444"/>
        <v>82.68</v>
      </c>
      <c r="N79" s="9">
        <f t="shared" si="445"/>
        <v>17.3628</v>
      </c>
      <c r="O79" s="66">
        <f t="shared" si="446"/>
        <v>100.0428</v>
      </c>
    </row>
    <row r="80" spans="1:15" x14ac:dyDescent="0.3">
      <c r="A80" s="11" t="s">
        <v>511</v>
      </c>
      <c r="B80" s="12" t="s">
        <v>198</v>
      </c>
      <c r="C80" s="13" t="s">
        <v>1655</v>
      </c>
      <c r="D80" s="14">
        <v>72.16</v>
      </c>
      <c r="E80" s="15">
        <v>0.5</v>
      </c>
      <c r="F80" s="183">
        <v>0.2</v>
      </c>
      <c r="G80" s="2">
        <f t="shared" si="439"/>
        <v>36.08</v>
      </c>
      <c r="H80" s="65">
        <f t="shared" si="440"/>
        <v>108.24</v>
      </c>
      <c r="I80" s="9">
        <f t="shared" si="441"/>
        <v>22.730399999999999</v>
      </c>
      <c r="J80" s="66">
        <f t="shared" si="442"/>
        <v>130.97039999999998</v>
      </c>
      <c r="L80" s="153">
        <f t="shared" si="443"/>
        <v>14.432</v>
      </c>
      <c r="M80" s="65">
        <f t="shared" si="444"/>
        <v>86.591999999999999</v>
      </c>
      <c r="N80" s="9">
        <f t="shared" si="445"/>
        <v>18.18432</v>
      </c>
      <c r="O80" s="66">
        <f t="shared" si="446"/>
        <v>104.77632</v>
      </c>
    </row>
    <row r="81" spans="1:15" x14ac:dyDescent="0.3">
      <c r="A81" s="11" t="s">
        <v>529</v>
      </c>
      <c r="B81" s="12" t="s">
        <v>199</v>
      </c>
      <c r="C81" s="13" t="s">
        <v>1655</v>
      </c>
      <c r="D81" s="14">
        <v>75.42</v>
      </c>
      <c r="E81" s="15">
        <v>0.5</v>
      </c>
      <c r="F81" s="183">
        <v>0.2</v>
      </c>
      <c r="G81" s="2">
        <f t="shared" si="439"/>
        <v>37.71</v>
      </c>
      <c r="H81" s="65">
        <f t="shared" si="440"/>
        <v>113.13</v>
      </c>
      <c r="I81" s="9">
        <f t="shared" si="441"/>
        <v>23.757299999999997</v>
      </c>
      <c r="J81" s="66">
        <f t="shared" si="442"/>
        <v>136.88729999999998</v>
      </c>
      <c r="L81" s="153">
        <f t="shared" si="443"/>
        <v>15.084000000000001</v>
      </c>
      <c r="M81" s="65">
        <f t="shared" si="444"/>
        <v>90.504000000000005</v>
      </c>
      <c r="N81" s="9">
        <f t="shared" si="445"/>
        <v>19.005839999999999</v>
      </c>
      <c r="O81" s="66">
        <f t="shared" si="446"/>
        <v>109.50984</v>
      </c>
    </row>
    <row r="82" spans="1:15" x14ac:dyDescent="0.3">
      <c r="A82" s="11" t="s">
        <v>531</v>
      </c>
      <c r="B82" s="12" t="s">
        <v>200</v>
      </c>
      <c r="C82" s="13" t="s">
        <v>1655</v>
      </c>
      <c r="D82" s="14">
        <v>78.680000000000007</v>
      </c>
      <c r="E82" s="15">
        <v>0.5</v>
      </c>
      <c r="F82" s="183">
        <v>0.2</v>
      </c>
      <c r="G82" s="2">
        <f t="shared" si="439"/>
        <v>39.340000000000003</v>
      </c>
      <c r="H82" s="65">
        <f t="shared" si="440"/>
        <v>118.02000000000001</v>
      </c>
      <c r="I82" s="9">
        <f t="shared" si="441"/>
        <v>24.784200000000002</v>
      </c>
      <c r="J82" s="66">
        <f t="shared" si="442"/>
        <v>142.80420000000001</v>
      </c>
      <c r="L82" s="153">
        <f t="shared" si="443"/>
        <v>15.736000000000002</v>
      </c>
      <c r="M82" s="65">
        <f t="shared" si="444"/>
        <v>94.416000000000011</v>
      </c>
      <c r="N82" s="9">
        <f t="shared" si="445"/>
        <v>19.827360000000002</v>
      </c>
      <c r="O82" s="66">
        <f t="shared" si="446"/>
        <v>114.24336000000001</v>
      </c>
    </row>
    <row r="83" spans="1:15" x14ac:dyDescent="0.3">
      <c r="A83" s="11" t="s">
        <v>678</v>
      </c>
      <c r="B83" s="12" t="s">
        <v>1596</v>
      </c>
      <c r="C83" s="13" t="s">
        <v>1655</v>
      </c>
      <c r="D83" s="14">
        <v>81.94</v>
      </c>
      <c r="E83" s="15">
        <v>0.5</v>
      </c>
      <c r="F83" s="183">
        <v>0.2</v>
      </c>
      <c r="G83" s="2">
        <f t="shared" si="439"/>
        <v>40.97</v>
      </c>
      <c r="H83" s="65">
        <f t="shared" si="440"/>
        <v>122.91</v>
      </c>
      <c r="I83" s="9">
        <f t="shared" si="441"/>
        <v>25.8111</v>
      </c>
      <c r="J83" s="66">
        <f t="shared" si="442"/>
        <v>148.72110000000001</v>
      </c>
      <c r="L83" s="153">
        <f t="shared" si="443"/>
        <v>16.388000000000002</v>
      </c>
      <c r="M83" s="65">
        <f t="shared" si="444"/>
        <v>98.328000000000003</v>
      </c>
      <c r="N83" s="9">
        <f t="shared" si="445"/>
        <v>20.648879999999998</v>
      </c>
      <c r="O83" s="66">
        <f t="shared" si="446"/>
        <v>118.97687999999999</v>
      </c>
    </row>
    <row r="84" spans="1:15" x14ac:dyDescent="0.3">
      <c r="A84" s="11" t="s">
        <v>680</v>
      </c>
      <c r="B84" s="12" t="s">
        <v>1587</v>
      </c>
      <c r="C84" s="13" t="s">
        <v>1655</v>
      </c>
      <c r="D84" s="14">
        <v>85.2</v>
      </c>
      <c r="E84" s="15">
        <v>0.5</v>
      </c>
      <c r="F84" s="183">
        <v>0.2</v>
      </c>
      <c r="G84" s="2">
        <f t="shared" si="439"/>
        <v>42.6</v>
      </c>
      <c r="H84" s="65">
        <f t="shared" si="440"/>
        <v>127.80000000000001</v>
      </c>
      <c r="I84" s="9">
        <f t="shared" si="441"/>
        <v>26.838000000000001</v>
      </c>
      <c r="J84" s="66">
        <f t="shared" si="442"/>
        <v>154.63800000000001</v>
      </c>
      <c r="L84" s="153">
        <f t="shared" si="443"/>
        <v>17.040000000000003</v>
      </c>
      <c r="M84" s="65">
        <f t="shared" si="444"/>
        <v>102.24000000000001</v>
      </c>
      <c r="N84" s="9">
        <f t="shared" si="445"/>
        <v>21.470400000000001</v>
      </c>
      <c r="O84" s="66">
        <f t="shared" si="446"/>
        <v>123.71040000000001</v>
      </c>
    </row>
    <row r="85" spans="1:15" x14ac:dyDescent="0.3">
      <c r="A85" s="11" t="s">
        <v>1561</v>
      </c>
      <c r="B85" s="12" t="s">
        <v>326</v>
      </c>
      <c r="C85" s="13" t="s">
        <v>1655</v>
      </c>
      <c r="D85" s="14">
        <v>88.46</v>
      </c>
      <c r="E85" s="15">
        <v>0.5</v>
      </c>
      <c r="F85" s="183">
        <v>0.2</v>
      </c>
      <c r="G85" s="2">
        <f t="shared" si="439"/>
        <v>44.23</v>
      </c>
      <c r="H85" s="65">
        <f t="shared" si="440"/>
        <v>132.69</v>
      </c>
      <c r="I85" s="9">
        <f t="shared" si="441"/>
        <v>27.864899999999999</v>
      </c>
      <c r="J85" s="66">
        <f t="shared" si="442"/>
        <v>160.5549</v>
      </c>
      <c r="L85" s="153">
        <f t="shared" si="443"/>
        <v>17.692</v>
      </c>
      <c r="M85" s="65">
        <f t="shared" si="444"/>
        <v>106.15199999999999</v>
      </c>
      <c r="N85" s="9">
        <f t="shared" si="445"/>
        <v>22.291919999999998</v>
      </c>
      <c r="O85" s="66">
        <f t="shared" si="446"/>
        <v>128.44391999999999</v>
      </c>
    </row>
    <row r="86" spans="1:15" x14ac:dyDescent="0.3">
      <c r="A86" s="11" t="s">
        <v>1562</v>
      </c>
      <c r="B86" s="12" t="s">
        <v>327</v>
      </c>
      <c r="C86" s="13" t="s">
        <v>1655</v>
      </c>
      <c r="D86" s="14">
        <v>91.72</v>
      </c>
      <c r="E86" s="15">
        <v>0.5</v>
      </c>
      <c r="F86" s="183">
        <v>0.2</v>
      </c>
      <c r="G86" s="2">
        <f t="shared" si="439"/>
        <v>45.86</v>
      </c>
      <c r="H86" s="65">
        <f t="shared" si="440"/>
        <v>137.57999999999998</v>
      </c>
      <c r="I86" s="9">
        <f t="shared" si="441"/>
        <v>28.891799999999996</v>
      </c>
      <c r="J86" s="66">
        <f t="shared" si="442"/>
        <v>166.47179999999997</v>
      </c>
      <c r="L86" s="153">
        <f t="shared" si="443"/>
        <v>18.344000000000001</v>
      </c>
      <c r="M86" s="65">
        <f t="shared" si="444"/>
        <v>110.06399999999999</v>
      </c>
      <c r="N86" s="9">
        <f t="shared" si="445"/>
        <v>23.113439999999997</v>
      </c>
      <c r="O86" s="66">
        <f t="shared" si="446"/>
        <v>133.17743999999999</v>
      </c>
    </row>
    <row r="87" spans="1:15" x14ac:dyDescent="0.3">
      <c r="A87" s="11" t="s">
        <v>1563</v>
      </c>
      <c r="B87" s="12" t="s">
        <v>328</v>
      </c>
      <c r="C87" s="13" t="s">
        <v>1655</v>
      </c>
      <c r="D87" s="14">
        <v>94.98</v>
      </c>
      <c r="E87" s="15">
        <v>0.5</v>
      </c>
      <c r="F87" s="183">
        <v>0.2</v>
      </c>
      <c r="G87" s="2">
        <f t="shared" si="439"/>
        <v>47.49</v>
      </c>
      <c r="H87" s="65">
        <f t="shared" si="440"/>
        <v>142.47</v>
      </c>
      <c r="I87" s="9">
        <f t="shared" si="441"/>
        <v>29.918699999999998</v>
      </c>
      <c r="J87" s="66">
        <f t="shared" si="442"/>
        <v>172.3887</v>
      </c>
      <c r="L87" s="153">
        <f t="shared" si="443"/>
        <v>18.996000000000002</v>
      </c>
      <c r="M87" s="65">
        <f t="shared" si="444"/>
        <v>113.976</v>
      </c>
      <c r="N87" s="9">
        <f t="shared" si="445"/>
        <v>23.93496</v>
      </c>
      <c r="O87" s="66">
        <f t="shared" si="446"/>
        <v>137.91095999999999</v>
      </c>
    </row>
    <row r="88" spans="1:15" x14ac:dyDescent="0.3">
      <c r="A88" s="11" t="s">
        <v>1564</v>
      </c>
      <c r="B88" s="12" t="s">
        <v>1042</v>
      </c>
      <c r="C88" s="13" t="s">
        <v>1655</v>
      </c>
      <c r="D88" s="14">
        <v>98.240000000000094</v>
      </c>
      <c r="E88" s="15">
        <v>0.5</v>
      </c>
      <c r="F88" s="183">
        <v>0.2</v>
      </c>
      <c r="G88" s="2">
        <f t="shared" si="439"/>
        <v>49.120000000000047</v>
      </c>
      <c r="H88" s="65">
        <f t="shared" si="440"/>
        <v>147.36000000000013</v>
      </c>
      <c r="I88" s="9">
        <f t="shared" si="441"/>
        <v>30.945600000000027</v>
      </c>
      <c r="J88" s="66">
        <f t="shared" si="442"/>
        <v>178.30560000000014</v>
      </c>
      <c r="L88" s="153">
        <f t="shared" si="443"/>
        <v>19.648000000000021</v>
      </c>
      <c r="M88" s="65">
        <f t="shared" si="444"/>
        <v>117.88800000000012</v>
      </c>
      <c r="N88" s="9">
        <f t="shared" si="445"/>
        <v>24.756480000000025</v>
      </c>
      <c r="O88" s="66">
        <f t="shared" si="446"/>
        <v>142.64448000000016</v>
      </c>
    </row>
  </sheetData>
  <mergeCells count="5">
    <mergeCell ref="A1:D4"/>
    <mergeCell ref="A6:D7"/>
    <mergeCell ref="A8:D9"/>
    <mergeCell ref="E10:F10"/>
    <mergeCell ref="L10:O1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P154"/>
  <sheetViews>
    <sheetView topLeftCell="A124" zoomScale="90" zoomScaleNormal="90" workbookViewId="0">
      <selection activeCell="G25" sqref="G25"/>
    </sheetView>
  </sheetViews>
  <sheetFormatPr defaultRowHeight="14.4" x14ac:dyDescent="0.3"/>
  <cols>
    <col min="2" max="2" width="32.21875" customWidth="1"/>
    <col min="3" max="3" width="21.6640625" customWidth="1"/>
    <col min="4" max="4" width="13.44140625" customWidth="1"/>
    <col min="5" max="5" width="8" customWidth="1"/>
    <col min="6" max="6" width="8.5546875" customWidth="1"/>
    <col min="7" max="7" width="9.5546875" customWidth="1"/>
    <col min="8" max="8" width="12.33203125" customWidth="1"/>
    <col min="9" max="9" width="9.44140625" customWidth="1"/>
    <col min="10" max="11" width="13" customWidth="1"/>
    <col min="14" max="14" width="16.109375" customWidth="1"/>
  </cols>
  <sheetData>
    <row r="1" spans="1:16" x14ac:dyDescent="0.3">
      <c r="A1" s="518"/>
      <c r="B1" s="519"/>
      <c r="C1" s="519"/>
      <c r="D1" s="520"/>
    </row>
    <row r="2" spans="1:16" x14ac:dyDescent="0.3">
      <c r="A2" s="521"/>
      <c r="B2" s="522"/>
      <c r="C2" s="522"/>
      <c r="D2" s="523"/>
    </row>
    <row r="3" spans="1:16" x14ac:dyDescent="0.3">
      <c r="A3" s="521"/>
      <c r="B3" s="522"/>
      <c r="C3" s="522"/>
      <c r="D3" s="523"/>
    </row>
    <row r="4" spans="1:16" x14ac:dyDescent="0.3">
      <c r="A4" s="524"/>
      <c r="B4" s="525"/>
      <c r="C4" s="525"/>
      <c r="D4" s="526"/>
    </row>
    <row r="6" spans="1:16" ht="14.4" customHeight="1" x14ac:dyDescent="0.3">
      <c r="A6" s="527" t="s">
        <v>1657</v>
      </c>
      <c r="B6" s="528"/>
      <c r="C6" s="528"/>
      <c r="D6" s="529"/>
    </row>
    <row r="7" spans="1:16" ht="14.4" customHeight="1" x14ac:dyDescent="0.3">
      <c r="A7" s="530"/>
      <c r="B7" s="531"/>
      <c r="C7" s="531"/>
      <c r="D7" s="532"/>
    </row>
    <row r="8" spans="1:16" ht="14.4" customHeight="1" x14ac:dyDescent="0.3">
      <c r="A8" s="533" t="s">
        <v>2218</v>
      </c>
      <c r="B8" s="534"/>
      <c r="C8" s="534"/>
      <c r="D8" s="535"/>
    </row>
    <row r="9" spans="1:16" ht="14.4" customHeight="1" x14ac:dyDescent="0.3">
      <c r="A9" s="536"/>
      <c r="B9" s="537"/>
      <c r="C9" s="537"/>
      <c r="D9" s="538"/>
    </row>
    <row r="10" spans="1:16" ht="15.6" x14ac:dyDescent="0.3">
      <c r="E10" s="539" t="s">
        <v>2</v>
      </c>
      <c r="F10" s="539"/>
      <c r="M10" s="540" t="s">
        <v>831</v>
      </c>
      <c r="N10" s="540"/>
      <c r="O10" s="540"/>
      <c r="P10" s="540"/>
    </row>
    <row r="11" spans="1:16" ht="19.5" customHeight="1" x14ac:dyDescent="0.3">
      <c r="A11" s="147" t="s">
        <v>0</v>
      </c>
      <c r="B11" s="147" t="s">
        <v>5</v>
      </c>
      <c r="C11" s="147" t="s">
        <v>1</v>
      </c>
      <c r="D11" s="147" t="s">
        <v>1294</v>
      </c>
      <c r="E11" s="147" t="s">
        <v>101</v>
      </c>
      <c r="F11" s="147" t="s">
        <v>831</v>
      </c>
      <c r="G11" s="147" t="s">
        <v>3</v>
      </c>
      <c r="H11" s="147" t="s">
        <v>11</v>
      </c>
      <c r="I11" s="147" t="s">
        <v>4</v>
      </c>
      <c r="J11" s="148" t="s">
        <v>7</v>
      </c>
      <c r="K11" s="257" t="s">
        <v>267</v>
      </c>
      <c r="M11" s="152" t="s">
        <v>3</v>
      </c>
      <c r="N11" s="152" t="s">
        <v>11</v>
      </c>
      <c r="O11" s="152" t="s">
        <v>4</v>
      </c>
      <c r="P11" s="152" t="s">
        <v>7</v>
      </c>
    </row>
    <row r="12" spans="1:16" ht="13.8" customHeight="1" x14ac:dyDescent="0.3">
      <c r="A12" s="241" t="s">
        <v>266</v>
      </c>
      <c r="B12" s="242" t="s">
        <v>2219</v>
      </c>
      <c r="C12" s="243" t="s">
        <v>277</v>
      </c>
      <c r="D12" s="244">
        <v>54.77</v>
      </c>
      <c r="E12" s="245">
        <v>0.05</v>
      </c>
      <c r="F12" s="246">
        <v>0.3</v>
      </c>
      <c r="G12" s="2">
        <f t="shared" ref="G12:G17" si="0">D12*E12</f>
        <v>2.7385000000000002</v>
      </c>
      <c r="H12" s="247">
        <f t="shared" ref="H12:H17" si="1">G12+D12</f>
        <v>57.508500000000005</v>
      </c>
      <c r="I12" s="9">
        <f t="shared" ref="I12:I17" si="2">H12*0.21</f>
        <v>12.076785000000001</v>
      </c>
      <c r="J12" s="248">
        <f t="shared" ref="J12:J17" si="3">H12+I12</f>
        <v>69.585284999999999</v>
      </c>
      <c r="K12" s="356">
        <v>0</v>
      </c>
      <c r="M12" s="153">
        <f t="shared" ref="M12:M17" si="4">D12*F12</f>
        <v>16.431000000000001</v>
      </c>
      <c r="N12" s="247">
        <f t="shared" ref="N12:N17" si="5">D12+M12</f>
        <v>71.201000000000008</v>
      </c>
      <c r="O12" s="9">
        <f t="shared" ref="O12:O17" si="6">N12*0.21</f>
        <v>14.952210000000001</v>
      </c>
      <c r="P12" s="248">
        <f t="shared" ref="P12:P17" si="7">N12+O12</f>
        <v>86.153210000000001</v>
      </c>
    </row>
    <row r="13" spans="1:16" x14ac:dyDescent="0.3">
      <c r="A13" s="241" t="s">
        <v>268</v>
      </c>
      <c r="B13" s="242" t="s">
        <v>269</v>
      </c>
      <c r="C13" s="243" t="s">
        <v>277</v>
      </c>
      <c r="D13" s="244">
        <v>57.14</v>
      </c>
      <c r="E13" s="245">
        <v>0.05</v>
      </c>
      <c r="F13" s="246">
        <v>0.3</v>
      </c>
      <c r="G13" s="2">
        <f t="shared" si="0"/>
        <v>2.8570000000000002</v>
      </c>
      <c r="H13" s="247">
        <f t="shared" si="1"/>
        <v>59.997</v>
      </c>
      <c r="I13" s="9">
        <f t="shared" si="2"/>
        <v>12.599369999999999</v>
      </c>
      <c r="J13" s="248">
        <f t="shared" si="3"/>
        <v>72.596369999999993</v>
      </c>
      <c r="K13" s="258">
        <v>0</v>
      </c>
      <c r="M13" s="153">
        <f t="shared" si="4"/>
        <v>17.141999999999999</v>
      </c>
      <c r="N13" s="247">
        <f t="shared" si="5"/>
        <v>74.281999999999996</v>
      </c>
      <c r="O13" s="9">
        <f t="shared" si="6"/>
        <v>15.599219999999999</v>
      </c>
      <c r="P13" s="248">
        <f t="shared" si="7"/>
        <v>89.881219999999999</v>
      </c>
    </row>
    <row r="14" spans="1:16" x14ac:dyDescent="0.3">
      <c r="A14" s="241" t="s">
        <v>270</v>
      </c>
      <c r="B14" s="242" t="s">
        <v>271</v>
      </c>
      <c r="C14" s="243" t="s">
        <v>277</v>
      </c>
      <c r="D14" s="244">
        <v>59.51</v>
      </c>
      <c r="E14" s="245">
        <v>0.05</v>
      </c>
      <c r="F14" s="246">
        <v>0.3</v>
      </c>
      <c r="G14" s="2">
        <f t="shared" si="0"/>
        <v>2.9755000000000003</v>
      </c>
      <c r="H14" s="247">
        <f t="shared" si="1"/>
        <v>62.485500000000002</v>
      </c>
      <c r="I14" s="9">
        <f t="shared" si="2"/>
        <v>13.121955</v>
      </c>
      <c r="J14" s="248">
        <f t="shared" si="3"/>
        <v>75.607455000000002</v>
      </c>
      <c r="K14" s="258">
        <v>0</v>
      </c>
      <c r="M14" s="153">
        <f t="shared" si="4"/>
        <v>17.852999999999998</v>
      </c>
      <c r="N14" s="247">
        <f t="shared" si="5"/>
        <v>77.363</v>
      </c>
      <c r="O14" s="9">
        <f t="shared" si="6"/>
        <v>16.246230000000001</v>
      </c>
      <c r="P14" s="248">
        <f t="shared" si="7"/>
        <v>93.609229999999997</v>
      </c>
    </row>
    <row r="15" spans="1:16" x14ac:dyDescent="0.3">
      <c r="A15" s="241" t="s">
        <v>300</v>
      </c>
      <c r="B15" s="242" t="s">
        <v>301</v>
      </c>
      <c r="C15" s="243" t="s">
        <v>277</v>
      </c>
      <c r="D15" s="244">
        <v>61.88</v>
      </c>
      <c r="E15" s="245">
        <v>0.05</v>
      </c>
      <c r="F15" s="246">
        <v>0.3</v>
      </c>
      <c r="G15" s="2">
        <f t="shared" si="0"/>
        <v>3.0940000000000003</v>
      </c>
      <c r="H15" s="247">
        <f t="shared" si="1"/>
        <v>64.974000000000004</v>
      </c>
      <c r="I15" s="9">
        <f t="shared" si="2"/>
        <v>13.644540000000001</v>
      </c>
      <c r="J15" s="248">
        <f t="shared" si="3"/>
        <v>78.61854000000001</v>
      </c>
      <c r="K15" s="258">
        <v>0</v>
      </c>
      <c r="M15" s="153">
        <f t="shared" si="4"/>
        <v>18.564</v>
      </c>
      <c r="N15" s="247">
        <f t="shared" si="5"/>
        <v>80.444000000000003</v>
      </c>
      <c r="O15" s="9">
        <f t="shared" si="6"/>
        <v>16.893239999999999</v>
      </c>
      <c r="P15" s="248">
        <f t="shared" si="7"/>
        <v>97.337240000000008</v>
      </c>
    </row>
    <row r="16" spans="1:16" x14ac:dyDescent="0.3">
      <c r="A16" s="241" t="s">
        <v>305</v>
      </c>
      <c r="B16" s="242" t="s">
        <v>306</v>
      </c>
      <c r="C16" s="243" t="s">
        <v>277</v>
      </c>
      <c r="D16" s="244">
        <v>64.25</v>
      </c>
      <c r="E16" s="245">
        <v>0.05</v>
      </c>
      <c r="F16" s="246">
        <v>0.3</v>
      </c>
      <c r="G16" s="2">
        <f t="shared" si="0"/>
        <v>3.2125000000000004</v>
      </c>
      <c r="H16" s="247">
        <f t="shared" si="1"/>
        <v>67.462500000000006</v>
      </c>
      <c r="I16" s="9">
        <f t="shared" si="2"/>
        <v>14.167125</v>
      </c>
      <c r="J16" s="248">
        <f t="shared" si="3"/>
        <v>81.629625000000004</v>
      </c>
      <c r="K16" s="258">
        <v>0</v>
      </c>
      <c r="M16" s="153">
        <f t="shared" si="4"/>
        <v>19.274999999999999</v>
      </c>
      <c r="N16" s="247">
        <f t="shared" si="5"/>
        <v>83.525000000000006</v>
      </c>
      <c r="O16" s="9">
        <f t="shared" si="6"/>
        <v>17.54025</v>
      </c>
      <c r="P16" s="248">
        <f t="shared" si="7"/>
        <v>101.06525000000001</v>
      </c>
    </row>
    <row r="17" spans="1:16" x14ac:dyDescent="0.3">
      <c r="A17" s="241" t="s">
        <v>307</v>
      </c>
      <c r="B17" s="242" t="s">
        <v>308</v>
      </c>
      <c r="C17" s="243" t="s">
        <v>277</v>
      </c>
      <c r="D17" s="244">
        <v>66.62</v>
      </c>
      <c r="E17" s="245">
        <v>0.05</v>
      </c>
      <c r="F17" s="246">
        <v>0.3</v>
      </c>
      <c r="G17" s="2">
        <f t="shared" si="0"/>
        <v>3.3310000000000004</v>
      </c>
      <c r="H17" s="247">
        <f t="shared" si="1"/>
        <v>69.951000000000008</v>
      </c>
      <c r="I17" s="9">
        <f t="shared" si="2"/>
        <v>14.689710000000002</v>
      </c>
      <c r="J17" s="248">
        <f t="shared" si="3"/>
        <v>84.640710000000013</v>
      </c>
      <c r="K17" s="258">
        <v>0</v>
      </c>
      <c r="M17" s="153">
        <f t="shared" si="4"/>
        <v>19.986000000000001</v>
      </c>
      <c r="N17" s="247">
        <f t="shared" si="5"/>
        <v>86.606000000000009</v>
      </c>
      <c r="O17" s="9">
        <f t="shared" si="6"/>
        <v>18.187260000000002</v>
      </c>
      <c r="P17" s="248">
        <f t="shared" si="7"/>
        <v>104.79326</v>
      </c>
    </row>
    <row r="18" spans="1:16" x14ac:dyDescent="0.3">
      <c r="A18" s="241" t="s">
        <v>439</v>
      </c>
      <c r="B18" s="242" t="s">
        <v>440</v>
      </c>
      <c r="C18" s="243" t="s">
        <v>277</v>
      </c>
      <c r="D18" s="244">
        <v>68.989999999999995</v>
      </c>
      <c r="E18" s="245">
        <v>0.05</v>
      </c>
      <c r="F18" s="246">
        <v>0.3</v>
      </c>
      <c r="G18" s="2">
        <f t="shared" ref="G18" si="8">D18*E18</f>
        <v>3.4495</v>
      </c>
      <c r="H18" s="247">
        <f t="shared" ref="H18" si="9">G18+D18</f>
        <v>72.439499999999995</v>
      </c>
      <c r="I18" s="9">
        <f t="shared" ref="I18" si="10">H18*0.21</f>
        <v>15.212294999999999</v>
      </c>
      <c r="J18" s="248">
        <f t="shared" ref="J18" si="11">H18+I18</f>
        <v>87.651794999999993</v>
      </c>
      <c r="K18" s="258">
        <v>0</v>
      </c>
      <c r="M18" s="153">
        <f t="shared" ref="M18" si="12">D18*F18</f>
        <v>20.696999999999999</v>
      </c>
      <c r="N18" s="247">
        <f t="shared" ref="N18" si="13">D18+M18</f>
        <v>89.686999999999998</v>
      </c>
      <c r="O18" s="9">
        <f t="shared" ref="O18" si="14">N18*0.21</f>
        <v>18.83427</v>
      </c>
      <c r="P18" s="248">
        <f t="shared" ref="P18" si="15">N18+O18</f>
        <v>108.52127</v>
      </c>
    </row>
    <row r="19" spans="1:16" x14ac:dyDescent="0.3">
      <c r="A19" s="241" t="s">
        <v>441</v>
      </c>
      <c r="B19" s="242" t="s">
        <v>443</v>
      </c>
      <c r="C19" s="243" t="s">
        <v>277</v>
      </c>
      <c r="D19" s="244">
        <v>71.36</v>
      </c>
      <c r="E19" s="245">
        <v>0.05</v>
      </c>
      <c r="F19" s="246">
        <v>0.3</v>
      </c>
      <c r="G19" s="2">
        <f t="shared" ref="G19" si="16">D19*E19</f>
        <v>3.5680000000000001</v>
      </c>
      <c r="H19" s="247">
        <f t="shared" ref="H19" si="17">G19+D19</f>
        <v>74.927999999999997</v>
      </c>
      <c r="I19" s="9">
        <f t="shared" ref="I19" si="18">H19*0.21</f>
        <v>15.734879999999999</v>
      </c>
      <c r="J19" s="248">
        <f t="shared" ref="J19" si="19">H19+I19</f>
        <v>90.662880000000001</v>
      </c>
      <c r="K19" s="258">
        <v>0</v>
      </c>
      <c r="M19" s="153">
        <f t="shared" ref="M19" si="20">D19*F19</f>
        <v>21.407999999999998</v>
      </c>
      <c r="N19" s="247">
        <f t="shared" ref="N19" si="21">D19+M19</f>
        <v>92.768000000000001</v>
      </c>
      <c r="O19" s="9">
        <f t="shared" ref="O19" si="22">N19*0.21</f>
        <v>19.481279999999998</v>
      </c>
      <c r="P19" s="248">
        <f t="shared" ref="P19" si="23">N19+O19</f>
        <v>112.24928</v>
      </c>
    </row>
    <row r="20" spans="1:16" x14ac:dyDescent="0.3">
      <c r="A20" s="241" t="s">
        <v>442</v>
      </c>
      <c r="B20" s="242" t="s">
        <v>444</v>
      </c>
      <c r="C20" s="243" t="s">
        <v>277</v>
      </c>
      <c r="D20" s="244">
        <v>73.73</v>
      </c>
      <c r="E20" s="245">
        <v>0.05</v>
      </c>
      <c r="F20" s="246">
        <v>0.3</v>
      </c>
      <c r="G20" s="2">
        <f t="shared" ref="G20" si="24">D20*E20</f>
        <v>3.6865000000000006</v>
      </c>
      <c r="H20" s="247">
        <f t="shared" ref="H20" si="25">G20+D20</f>
        <v>77.416499999999999</v>
      </c>
      <c r="I20" s="9">
        <f t="shared" ref="I20" si="26">H20*0.21</f>
        <v>16.257465</v>
      </c>
      <c r="J20" s="248">
        <f t="shared" ref="J20" si="27">H20+I20</f>
        <v>93.673964999999995</v>
      </c>
      <c r="K20" s="258">
        <v>0</v>
      </c>
      <c r="M20" s="153">
        <f t="shared" ref="M20" si="28">D20*F20</f>
        <v>22.119</v>
      </c>
      <c r="N20" s="247">
        <f t="shared" ref="N20" si="29">D20+M20</f>
        <v>95.849000000000004</v>
      </c>
      <c r="O20" s="9">
        <f t="shared" ref="O20" si="30">N20*0.21</f>
        <v>20.12829</v>
      </c>
      <c r="P20" s="248">
        <f t="shared" ref="P20" si="31">N20+O20</f>
        <v>115.97729000000001</v>
      </c>
    </row>
    <row r="21" spans="1:16" x14ac:dyDescent="0.3">
      <c r="A21" s="241" t="s">
        <v>447</v>
      </c>
      <c r="B21" s="242" t="s">
        <v>448</v>
      </c>
      <c r="C21" s="243" t="s">
        <v>277</v>
      </c>
      <c r="D21" s="244">
        <v>76.099999999999994</v>
      </c>
      <c r="E21" s="245">
        <v>0.05</v>
      </c>
      <c r="F21" s="246">
        <v>0.3</v>
      </c>
      <c r="G21" s="2">
        <f t="shared" ref="G21" si="32">D21*E21</f>
        <v>3.8049999999999997</v>
      </c>
      <c r="H21" s="247">
        <f t="shared" ref="H21" si="33">G21+D21</f>
        <v>79.905000000000001</v>
      </c>
      <c r="I21" s="9">
        <f t="shared" ref="I21" si="34">H21*0.21</f>
        <v>16.780049999999999</v>
      </c>
      <c r="J21" s="248">
        <f t="shared" ref="J21" si="35">H21+I21</f>
        <v>96.685050000000004</v>
      </c>
      <c r="K21" s="258">
        <v>0</v>
      </c>
      <c r="M21" s="153">
        <f t="shared" ref="M21" si="36">D21*F21</f>
        <v>22.83</v>
      </c>
      <c r="N21" s="247">
        <f t="shared" ref="N21" si="37">D21+M21</f>
        <v>98.929999999999993</v>
      </c>
      <c r="O21" s="9">
        <f t="shared" ref="O21" si="38">N21*0.21</f>
        <v>20.775299999999998</v>
      </c>
      <c r="P21" s="248">
        <f t="shared" ref="P21" si="39">N21+O21</f>
        <v>119.70529999999999</v>
      </c>
    </row>
    <row r="22" spans="1:16" x14ac:dyDescent="0.3">
      <c r="A22" s="241" t="s">
        <v>595</v>
      </c>
      <c r="B22" s="242" t="s">
        <v>596</v>
      </c>
      <c r="C22" s="243" t="s">
        <v>277</v>
      </c>
      <c r="D22" s="244">
        <v>78.47</v>
      </c>
      <c r="E22" s="245">
        <v>0.05</v>
      </c>
      <c r="F22" s="246">
        <v>0.3</v>
      </c>
      <c r="G22" s="2">
        <f t="shared" ref="G22" si="40">D22*E22</f>
        <v>3.9235000000000002</v>
      </c>
      <c r="H22" s="247">
        <f t="shared" ref="H22" si="41">G22+D22</f>
        <v>82.393500000000003</v>
      </c>
      <c r="I22" s="9">
        <f t="shared" ref="I22" si="42">H22*0.21</f>
        <v>17.302634999999999</v>
      </c>
      <c r="J22" s="248">
        <f t="shared" ref="J22" si="43">H22+I22</f>
        <v>99.696134999999998</v>
      </c>
      <c r="K22" s="258">
        <v>0</v>
      </c>
      <c r="M22" s="153">
        <f t="shared" ref="M22" si="44">D22*F22</f>
        <v>23.541</v>
      </c>
      <c r="N22" s="247">
        <f t="shared" ref="N22" si="45">D22+M22</f>
        <v>102.011</v>
      </c>
      <c r="O22" s="9">
        <f t="shared" ref="O22" si="46">N22*0.21</f>
        <v>21.42231</v>
      </c>
      <c r="P22" s="248">
        <f t="shared" ref="P22" si="47">N22+O22</f>
        <v>123.43330999999999</v>
      </c>
    </row>
    <row r="23" spans="1:16" x14ac:dyDescent="0.3">
      <c r="A23" s="241" t="s">
        <v>805</v>
      </c>
      <c r="B23" s="242" t="s">
        <v>806</v>
      </c>
      <c r="C23" s="243" t="s">
        <v>277</v>
      </c>
      <c r="D23" s="244">
        <v>80.84</v>
      </c>
      <c r="E23" s="245">
        <v>0.05</v>
      </c>
      <c r="F23" s="246">
        <v>0.3</v>
      </c>
      <c r="G23" s="2">
        <f t="shared" ref="G23" si="48">D23*E23</f>
        <v>4.0420000000000007</v>
      </c>
      <c r="H23" s="247">
        <f t="shared" ref="H23" si="49">G23+D23</f>
        <v>84.882000000000005</v>
      </c>
      <c r="I23" s="9">
        <f t="shared" ref="I23" si="50">H23*0.21</f>
        <v>17.825220000000002</v>
      </c>
      <c r="J23" s="248">
        <f t="shared" ref="J23" si="51">H23+I23</f>
        <v>102.70722000000001</v>
      </c>
      <c r="K23" s="258">
        <v>0</v>
      </c>
      <c r="M23" s="153">
        <f t="shared" ref="M23" si="52">D23*F23</f>
        <v>24.251999999999999</v>
      </c>
      <c r="N23" s="247">
        <f t="shared" ref="N23" si="53">D23+M23</f>
        <v>105.092</v>
      </c>
      <c r="O23" s="9">
        <f t="shared" ref="O23" si="54">N23*0.21</f>
        <v>22.069319999999998</v>
      </c>
      <c r="P23" s="248">
        <f t="shared" ref="P23" si="55">N23+O23</f>
        <v>127.16131999999999</v>
      </c>
    </row>
    <row r="24" spans="1:16" x14ac:dyDescent="0.3">
      <c r="A24" s="241" t="s">
        <v>807</v>
      </c>
      <c r="B24" s="242" t="s">
        <v>808</v>
      </c>
      <c r="C24" s="243" t="s">
        <v>277</v>
      </c>
      <c r="D24" s="244">
        <v>83.21</v>
      </c>
      <c r="E24" s="245">
        <v>0.05</v>
      </c>
      <c r="F24" s="246">
        <v>0.3</v>
      </c>
      <c r="G24" s="2">
        <f t="shared" ref="G24" si="56">D24*E24</f>
        <v>4.1604999999999999</v>
      </c>
      <c r="H24" s="247">
        <f t="shared" ref="H24" si="57">G24+D24</f>
        <v>87.370499999999993</v>
      </c>
      <c r="I24" s="9">
        <f t="shared" ref="I24" si="58">H24*0.21</f>
        <v>18.347804999999997</v>
      </c>
      <c r="J24" s="248">
        <f t="shared" ref="J24" si="59">H24+I24</f>
        <v>105.71830499999999</v>
      </c>
      <c r="K24" s="258">
        <v>0</v>
      </c>
      <c r="M24" s="153">
        <f t="shared" ref="M24" si="60">D24*F24</f>
        <v>24.962999999999997</v>
      </c>
      <c r="N24" s="247">
        <f t="shared" ref="N24" si="61">D24+M24</f>
        <v>108.17299999999999</v>
      </c>
      <c r="O24" s="9">
        <f t="shared" ref="O24" si="62">N24*0.21</f>
        <v>22.716329999999996</v>
      </c>
      <c r="P24" s="248">
        <f t="shared" ref="P24" si="63">N24+O24</f>
        <v>130.88932999999997</v>
      </c>
    </row>
    <row r="25" spans="1:16" x14ac:dyDescent="0.3">
      <c r="A25" s="241" t="s">
        <v>1151</v>
      </c>
      <c r="B25" s="242" t="s">
        <v>1152</v>
      </c>
      <c r="C25" s="243" t="s">
        <v>277</v>
      </c>
      <c r="D25" s="244">
        <v>85.58</v>
      </c>
      <c r="E25" s="245">
        <v>0.05</v>
      </c>
      <c r="F25" s="246">
        <v>0.3</v>
      </c>
      <c r="G25" s="2">
        <f t="shared" ref="G25" si="64">D25*E25</f>
        <v>4.2789999999999999</v>
      </c>
      <c r="H25" s="247">
        <f t="shared" ref="H25" si="65">G25+D25</f>
        <v>89.858999999999995</v>
      </c>
      <c r="I25" s="9">
        <f t="shared" ref="I25" si="66">H25*0.21</f>
        <v>18.870389999999997</v>
      </c>
      <c r="J25" s="248">
        <f t="shared" ref="J25" si="67">H25+I25</f>
        <v>108.72939</v>
      </c>
      <c r="K25" s="258">
        <v>0</v>
      </c>
      <c r="M25" s="153">
        <f t="shared" ref="M25" si="68">D25*F25</f>
        <v>25.673999999999999</v>
      </c>
      <c r="N25" s="247">
        <f t="shared" ref="N25" si="69">D25+M25</f>
        <v>111.25399999999999</v>
      </c>
      <c r="O25" s="9">
        <f t="shared" ref="O25" si="70">N25*0.21</f>
        <v>23.363339999999997</v>
      </c>
      <c r="P25" s="248">
        <f t="shared" ref="P25" si="71">N25+O25</f>
        <v>134.61733999999998</v>
      </c>
    </row>
    <row r="27" spans="1:16" x14ac:dyDescent="0.3">
      <c r="A27" s="249" t="s">
        <v>275</v>
      </c>
      <c r="B27" s="250" t="s">
        <v>276</v>
      </c>
      <c r="C27" s="251" t="s">
        <v>277</v>
      </c>
      <c r="D27" s="252">
        <v>0</v>
      </c>
      <c r="E27" s="253">
        <v>0</v>
      </c>
      <c r="F27" s="254">
        <v>0</v>
      </c>
      <c r="G27" s="2">
        <f>D27*E27</f>
        <v>0</v>
      </c>
      <c r="H27" s="255">
        <f>G27+D27</f>
        <v>0</v>
      </c>
      <c r="I27" s="9">
        <f>H27*0.21</f>
        <v>0</v>
      </c>
      <c r="J27" s="256">
        <f>H27+I27</f>
        <v>0</v>
      </c>
      <c r="K27" s="355">
        <v>0</v>
      </c>
      <c r="M27" s="153">
        <f>D27*F27</f>
        <v>0</v>
      </c>
      <c r="N27" s="255">
        <f>D27+M27</f>
        <v>0</v>
      </c>
      <c r="O27" s="9">
        <f>N27*0.21</f>
        <v>0</v>
      </c>
      <c r="P27" s="256">
        <f>N27+O27</f>
        <v>0</v>
      </c>
    </row>
    <row r="28" spans="1:16" x14ac:dyDescent="0.3">
      <c r="A28" s="249" t="s">
        <v>597</v>
      </c>
      <c r="B28" s="250" t="s">
        <v>598</v>
      </c>
      <c r="C28" s="251" t="s">
        <v>277</v>
      </c>
      <c r="D28" s="252">
        <v>0</v>
      </c>
      <c r="E28" s="253">
        <v>0</v>
      </c>
      <c r="F28" s="254">
        <v>0</v>
      </c>
      <c r="G28" s="2">
        <f>D28*E28</f>
        <v>0</v>
      </c>
      <c r="H28" s="255">
        <f>G28+D28</f>
        <v>0</v>
      </c>
      <c r="I28" s="9">
        <f>H28*0.21</f>
        <v>0</v>
      </c>
      <c r="J28" s="256">
        <f>H28+I28</f>
        <v>0</v>
      </c>
      <c r="K28" s="355">
        <v>0</v>
      </c>
      <c r="M28" s="153">
        <f>D28*F28</f>
        <v>0</v>
      </c>
      <c r="N28" s="255">
        <f>D28+M28</f>
        <v>0</v>
      </c>
      <c r="O28" s="9">
        <f>N28*0.21</f>
        <v>0</v>
      </c>
      <c r="P28" s="256">
        <f>N28+O28</f>
        <v>0</v>
      </c>
    </row>
    <row r="30" spans="1:16" x14ac:dyDescent="0.3">
      <c r="A30" s="267" t="s">
        <v>292</v>
      </c>
      <c r="B30" s="271" t="s">
        <v>293</v>
      </c>
      <c r="C30" s="272" t="s">
        <v>277</v>
      </c>
      <c r="D30" s="273">
        <v>21.87</v>
      </c>
      <c r="E30" s="274">
        <v>0.15</v>
      </c>
      <c r="F30" s="275">
        <v>0.1</v>
      </c>
      <c r="G30" s="2">
        <f t="shared" ref="G30:G35" si="72">D30*E30</f>
        <v>3.2805</v>
      </c>
      <c r="H30" s="269">
        <f t="shared" ref="H30:H35" si="73">G30+D30</f>
        <v>25.150500000000001</v>
      </c>
      <c r="I30" s="9">
        <f t="shared" ref="I30:I35" si="74">H30*0.21</f>
        <v>5.2816049999999999</v>
      </c>
      <c r="J30" s="268">
        <f t="shared" ref="J30:J35" si="75">H30+I30</f>
        <v>30.432105</v>
      </c>
      <c r="K30" s="270">
        <v>0</v>
      </c>
      <c r="M30" s="153">
        <f t="shared" ref="M30:M35" si="76">D30*F30</f>
        <v>2.1870000000000003</v>
      </c>
      <c r="N30" s="269">
        <f t="shared" ref="N30:N35" si="77">D30+M30</f>
        <v>24.057000000000002</v>
      </c>
      <c r="O30" s="9">
        <f t="shared" ref="O30:O35" si="78">N30*0.21</f>
        <v>5.0519699999999998</v>
      </c>
      <c r="P30" s="268">
        <f t="shared" ref="P30:P35" si="79">N30+O30</f>
        <v>29.108970000000003</v>
      </c>
    </row>
    <row r="31" spans="1:16" x14ac:dyDescent="0.3">
      <c r="A31" s="267" t="s">
        <v>294</v>
      </c>
      <c r="B31" s="271" t="s">
        <v>814</v>
      </c>
      <c r="C31" s="272" t="s">
        <v>277</v>
      </c>
      <c r="D31" s="273">
        <v>23.33</v>
      </c>
      <c r="E31" s="274">
        <v>0.15</v>
      </c>
      <c r="F31" s="275">
        <v>0.1</v>
      </c>
      <c r="G31" s="2">
        <f t="shared" si="72"/>
        <v>3.4994999999999998</v>
      </c>
      <c r="H31" s="269">
        <f t="shared" si="73"/>
        <v>26.829499999999999</v>
      </c>
      <c r="I31" s="9">
        <f t="shared" si="74"/>
        <v>5.6341950000000001</v>
      </c>
      <c r="J31" s="268">
        <f t="shared" si="75"/>
        <v>32.463695000000001</v>
      </c>
      <c r="K31" s="270">
        <v>0</v>
      </c>
      <c r="M31" s="153">
        <f t="shared" si="76"/>
        <v>2.3329999999999997</v>
      </c>
      <c r="N31" s="269">
        <f t="shared" si="77"/>
        <v>25.662999999999997</v>
      </c>
      <c r="O31" s="9">
        <f t="shared" si="78"/>
        <v>5.3892299999999995</v>
      </c>
      <c r="P31" s="268">
        <f t="shared" si="79"/>
        <v>31.052229999999994</v>
      </c>
    </row>
    <row r="32" spans="1:16" x14ac:dyDescent="0.3">
      <c r="A32" s="267" t="s">
        <v>295</v>
      </c>
      <c r="B32" s="271" t="s">
        <v>816</v>
      </c>
      <c r="C32" s="272" t="s">
        <v>277</v>
      </c>
      <c r="D32" s="273">
        <v>24.79</v>
      </c>
      <c r="E32" s="274">
        <v>0.15</v>
      </c>
      <c r="F32" s="275">
        <v>0.1</v>
      </c>
      <c r="G32" s="2">
        <f t="shared" si="72"/>
        <v>3.7184999999999997</v>
      </c>
      <c r="H32" s="269">
        <f t="shared" si="73"/>
        <v>28.508499999999998</v>
      </c>
      <c r="I32" s="9">
        <f t="shared" si="74"/>
        <v>5.9867849999999994</v>
      </c>
      <c r="J32" s="268">
        <f t="shared" si="75"/>
        <v>34.495284999999996</v>
      </c>
      <c r="K32" s="270">
        <v>0</v>
      </c>
      <c r="M32" s="153">
        <f t="shared" si="76"/>
        <v>2.4790000000000001</v>
      </c>
      <c r="N32" s="269">
        <f t="shared" si="77"/>
        <v>27.268999999999998</v>
      </c>
      <c r="O32" s="9">
        <f t="shared" si="78"/>
        <v>5.7264899999999992</v>
      </c>
      <c r="P32" s="268">
        <f t="shared" si="79"/>
        <v>32.995489999999997</v>
      </c>
    </row>
    <row r="33" spans="1:16" x14ac:dyDescent="0.3">
      <c r="A33" s="267" t="s">
        <v>296</v>
      </c>
      <c r="B33" s="271" t="s">
        <v>297</v>
      </c>
      <c r="C33" s="272" t="s">
        <v>277</v>
      </c>
      <c r="D33" s="273">
        <v>26.25</v>
      </c>
      <c r="E33" s="274">
        <v>0.15</v>
      </c>
      <c r="F33" s="275">
        <v>0.1</v>
      </c>
      <c r="G33" s="2">
        <f t="shared" si="72"/>
        <v>3.9375</v>
      </c>
      <c r="H33" s="269">
        <f t="shared" si="73"/>
        <v>30.1875</v>
      </c>
      <c r="I33" s="9">
        <f t="shared" si="74"/>
        <v>6.3393749999999995</v>
      </c>
      <c r="J33" s="268">
        <f t="shared" si="75"/>
        <v>36.526874999999997</v>
      </c>
      <c r="K33" s="270">
        <v>0</v>
      </c>
      <c r="M33" s="153">
        <f t="shared" si="76"/>
        <v>2.625</v>
      </c>
      <c r="N33" s="269">
        <f t="shared" si="77"/>
        <v>28.875</v>
      </c>
      <c r="O33" s="9">
        <f t="shared" si="78"/>
        <v>6.0637499999999998</v>
      </c>
      <c r="P33" s="268">
        <f t="shared" si="79"/>
        <v>34.938749999999999</v>
      </c>
    </row>
    <row r="34" spans="1:16" x14ac:dyDescent="0.3">
      <c r="A34" s="267" t="s">
        <v>298</v>
      </c>
      <c r="B34" s="271" t="s">
        <v>299</v>
      </c>
      <c r="C34" s="272" t="s">
        <v>277</v>
      </c>
      <c r="D34" s="273">
        <v>27.71</v>
      </c>
      <c r="E34" s="274">
        <v>0.15</v>
      </c>
      <c r="F34" s="275">
        <v>0.1</v>
      </c>
      <c r="G34" s="2">
        <f t="shared" si="72"/>
        <v>4.1565000000000003</v>
      </c>
      <c r="H34" s="269">
        <f t="shared" si="73"/>
        <v>31.866500000000002</v>
      </c>
      <c r="I34" s="9">
        <f t="shared" si="74"/>
        <v>6.6919650000000006</v>
      </c>
      <c r="J34" s="268">
        <f t="shared" si="75"/>
        <v>38.558465000000005</v>
      </c>
      <c r="K34" s="270">
        <v>0</v>
      </c>
      <c r="M34" s="153">
        <f t="shared" si="76"/>
        <v>2.7710000000000004</v>
      </c>
      <c r="N34" s="269">
        <f t="shared" si="77"/>
        <v>30.481000000000002</v>
      </c>
      <c r="O34" s="9">
        <f t="shared" si="78"/>
        <v>6.4010100000000003</v>
      </c>
      <c r="P34" s="268">
        <f t="shared" si="79"/>
        <v>36.882010000000001</v>
      </c>
    </row>
    <row r="35" spans="1:16" x14ac:dyDescent="0.3">
      <c r="A35" s="267" t="s">
        <v>445</v>
      </c>
      <c r="B35" s="271" t="s">
        <v>446</v>
      </c>
      <c r="C35" s="272" t="s">
        <v>277</v>
      </c>
      <c r="D35" s="273">
        <v>29.17</v>
      </c>
      <c r="E35" s="274">
        <v>0.15</v>
      </c>
      <c r="F35" s="275">
        <v>0.1</v>
      </c>
      <c r="G35" s="2">
        <f t="shared" si="72"/>
        <v>4.3754999999999997</v>
      </c>
      <c r="H35" s="269">
        <f t="shared" si="73"/>
        <v>33.545500000000004</v>
      </c>
      <c r="I35" s="9">
        <f t="shared" si="74"/>
        <v>7.0445550000000008</v>
      </c>
      <c r="J35" s="268">
        <f t="shared" si="75"/>
        <v>40.590055000000007</v>
      </c>
      <c r="K35" s="270">
        <v>0</v>
      </c>
      <c r="M35" s="153">
        <f t="shared" si="76"/>
        <v>2.9170000000000003</v>
      </c>
      <c r="N35" s="269">
        <f t="shared" si="77"/>
        <v>32.087000000000003</v>
      </c>
      <c r="O35" s="9">
        <f t="shared" si="78"/>
        <v>6.7382700000000009</v>
      </c>
      <c r="P35" s="268">
        <f t="shared" si="79"/>
        <v>38.825270000000003</v>
      </c>
    </row>
    <row r="36" spans="1:16" x14ac:dyDescent="0.3">
      <c r="A36" s="267" t="s">
        <v>465</v>
      </c>
      <c r="B36" s="358" t="s">
        <v>788</v>
      </c>
      <c r="C36" s="272" t="s">
        <v>277</v>
      </c>
      <c r="D36" s="273">
        <v>30.63</v>
      </c>
      <c r="E36" s="274">
        <v>0.15</v>
      </c>
      <c r="F36" s="275">
        <v>0.1</v>
      </c>
      <c r="G36" s="2">
        <f t="shared" ref="G36:G103" si="80">D36*E36</f>
        <v>4.5945</v>
      </c>
      <c r="H36" s="269">
        <f t="shared" ref="H36:H103" si="81">G36+D36</f>
        <v>35.224499999999999</v>
      </c>
      <c r="I36" s="9">
        <f t="shared" ref="I36:I103" si="82">H36*0.21</f>
        <v>7.3971449999999992</v>
      </c>
      <c r="J36" s="268">
        <f t="shared" ref="J36:J103" si="83">H36+I36</f>
        <v>42.621645000000001</v>
      </c>
      <c r="K36" s="270">
        <v>0</v>
      </c>
      <c r="M36" s="153">
        <f t="shared" ref="M36:M103" si="84">D36*F36</f>
        <v>3.0630000000000002</v>
      </c>
      <c r="N36" s="269">
        <f t="shared" ref="N36:N103" si="85">D36+M36</f>
        <v>33.692999999999998</v>
      </c>
      <c r="O36" s="9">
        <f t="shared" ref="O36:O103" si="86">N36*0.21</f>
        <v>7.0755299999999997</v>
      </c>
      <c r="P36" s="268">
        <f t="shared" ref="P36:P103" si="87">N36+O36</f>
        <v>40.768529999999998</v>
      </c>
    </row>
    <row r="37" spans="1:16" x14ac:dyDescent="0.3">
      <c r="A37" s="267" t="s">
        <v>466</v>
      </c>
      <c r="B37" s="358" t="s">
        <v>815</v>
      </c>
      <c r="C37" s="272" t="s">
        <v>277</v>
      </c>
      <c r="D37" s="273">
        <v>32.090000000000003</v>
      </c>
      <c r="E37" s="274">
        <v>0.15</v>
      </c>
      <c r="F37" s="275">
        <v>0.1</v>
      </c>
      <c r="G37" s="2">
        <f t="shared" si="80"/>
        <v>4.8135000000000003</v>
      </c>
      <c r="H37" s="269">
        <f t="shared" si="81"/>
        <v>36.903500000000001</v>
      </c>
      <c r="I37" s="9">
        <f t="shared" si="82"/>
        <v>7.7497350000000003</v>
      </c>
      <c r="J37" s="268">
        <f t="shared" si="83"/>
        <v>44.653235000000002</v>
      </c>
      <c r="K37" s="270">
        <v>0</v>
      </c>
      <c r="M37" s="153">
        <f t="shared" si="84"/>
        <v>3.2090000000000005</v>
      </c>
      <c r="N37" s="269">
        <f t="shared" si="85"/>
        <v>35.299000000000007</v>
      </c>
      <c r="O37" s="9">
        <f t="shared" si="86"/>
        <v>7.4127900000000011</v>
      </c>
      <c r="P37" s="268">
        <f t="shared" si="87"/>
        <v>42.711790000000008</v>
      </c>
    </row>
    <row r="38" spans="1:16" x14ac:dyDescent="0.3">
      <c r="A38" s="267" t="s">
        <v>467</v>
      </c>
      <c r="B38" s="324" t="s">
        <v>488</v>
      </c>
      <c r="C38" s="272" t="s">
        <v>277</v>
      </c>
      <c r="D38" s="273">
        <v>33.549999999999997</v>
      </c>
      <c r="E38" s="274">
        <v>0.15</v>
      </c>
      <c r="F38" s="275">
        <v>0.1</v>
      </c>
      <c r="G38" s="2">
        <f t="shared" si="80"/>
        <v>5.0324999999999998</v>
      </c>
      <c r="H38" s="269">
        <f t="shared" si="81"/>
        <v>38.582499999999996</v>
      </c>
      <c r="I38" s="9">
        <f t="shared" si="82"/>
        <v>8.1023249999999987</v>
      </c>
      <c r="J38" s="268">
        <f t="shared" si="83"/>
        <v>46.684824999999996</v>
      </c>
      <c r="K38" s="270">
        <v>0</v>
      </c>
      <c r="M38" s="153">
        <f t="shared" si="84"/>
        <v>3.355</v>
      </c>
      <c r="N38" s="269">
        <f t="shared" si="85"/>
        <v>36.904999999999994</v>
      </c>
      <c r="O38" s="9">
        <f t="shared" si="86"/>
        <v>7.7500499999999981</v>
      </c>
      <c r="P38" s="268">
        <f t="shared" si="87"/>
        <v>44.655049999999989</v>
      </c>
    </row>
    <row r="39" spans="1:16" x14ac:dyDescent="0.3">
      <c r="A39" s="267" t="s">
        <v>468</v>
      </c>
      <c r="B39" s="368" t="s">
        <v>817</v>
      </c>
      <c r="C39" s="272" t="s">
        <v>277</v>
      </c>
      <c r="D39" s="273">
        <v>35.01</v>
      </c>
      <c r="E39" s="274">
        <v>0.15</v>
      </c>
      <c r="F39" s="275">
        <v>0.1</v>
      </c>
      <c r="G39" s="2">
        <f t="shared" si="80"/>
        <v>5.2514999999999992</v>
      </c>
      <c r="H39" s="269">
        <f t="shared" si="81"/>
        <v>40.261499999999998</v>
      </c>
      <c r="I39" s="9">
        <f t="shared" si="82"/>
        <v>8.4549149999999997</v>
      </c>
      <c r="J39" s="268">
        <f t="shared" si="83"/>
        <v>48.716414999999998</v>
      </c>
      <c r="K39" s="270">
        <v>0</v>
      </c>
      <c r="M39" s="153">
        <f t="shared" si="84"/>
        <v>3.5009999999999999</v>
      </c>
      <c r="N39" s="269">
        <f t="shared" si="85"/>
        <v>38.510999999999996</v>
      </c>
      <c r="O39" s="9">
        <f t="shared" si="86"/>
        <v>8.0873099999999987</v>
      </c>
      <c r="P39" s="268">
        <f t="shared" si="87"/>
        <v>46.598309999999998</v>
      </c>
    </row>
    <row r="40" spans="1:16" x14ac:dyDescent="0.3">
      <c r="A40" s="267" t="s">
        <v>469</v>
      </c>
      <c r="B40" s="368" t="s">
        <v>818</v>
      </c>
      <c r="C40" s="272" t="s">
        <v>277</v>
      </c>
      <c r="D40" s="273">
        <v>36.47</v>
      </c>
      <c r="E40" s="274">
        <v>0.15</v>
      </c>
      <c r="F40" s="275">
        <v>0.1</v>
      </c>
      <c r="G40" s="2">
        <f t="shared" si="80"/>
        <v>5.4704999999999995</v>
      </c>
      <c r="H40" s="269">
        <f t="shared" si="81"/>
        <v>41.9405</v>
      </c>
      <c r="I40" s="9">
        <f t="shared" si="82"/>
        <v>8.807504999999999</v>
      </c>
      <c r="J40" s="268">
        <f t="shared" si="83"/>
        <v>50.748004999999999</v>
      </c>
      <c r="K40" s="270">
        <v>0</v>
      </c>
      <c r="M40" s="153">
        <f t="shared" si="84"/>
        <v>3.6470000000000002</v>
      </c>
      <c r="N40" s="269">
        <f t="shared" si="85"/>
        <v>40.116999999999997</v>
      </c>
      <c r="O40" s="9">
        <f t="shared" si="86"/>
        <v>8.4245699999999992</v>
      </c>
      <c r="P40" s="268">
        <f t="shared" si="87"/>
        <v>48.541569999999993</v>
      </c>
    </row>
    <row r="41" spans="1:16" x14ac:dyDescent="0.3">
      <c r="A41" s="267" t="s">
        <v>470</v>
      </c>
      <c r="B41" s="368" t="s">
        <v>819</v>
      </c>
      <c r="C41" s="272" t="s">
        <v>277</v>
      </c>
      <c r="D41" s="273">
        <v>37.93</v>
      </c>
      <c r="E41" s="274">
        <v>0.15</v>
      </c>
      <c r="F41" s="275">
        <v>0.1</v>
      </c>
      <c r="G41" s="2">
        <f t="shared" si="80"/>
        <v>5.6894999999999998</v>
      </c>
      <c r="H41" s="269">
        <f t="shared" si="81"/>
        <v>43.619500000000002</v>
      </c>
      <c r="I41" s="9">
        <f t="shared" si="82"/>
        <v>9.1600950000000001</v>
      </c>
      <c r="J41" s="268">
        <f t="shared" si="83"/>
        <v>52.779595</v>
      </c>
      <c r="K41" s="270">
        <v>0</v>
      </c>
      <c r="M41" s="153">
        <f t="shared" si="84"/>
        <v>3.7930000000000001</v>
      </c>
      <c r="N41" s="269">
        <f t="shared" si="85"/>
        <v>41.722999999999999</v>
      </c>
      <c r="O41" s="9">
        <f t="shared" si="86"/>
        <v>8.7618299999999998</v>
      </c>
      <c r="P41" s="268">
        <f t="shared" si="87"/>
        <v>50.484830000000002</v>
      </c>
    </row>
    <row r="42" spans="1:16" x14ac:dyDescent="0.3">
      <c r="A42" s="267" t="s">
        <v>471</v>
      </c>
      <c r="B42" s="324" t="s">
        <v>479</v>
      </c>
      <c r="C42" s="272" t="s">
        <v>277</v>
      </c>
      <c r="D42" s="273">
        <v>39.39</v>
      </c>
      <c r="E42" s="274">
        <v>0.15</v>
      </c>
      <c r="F42" s="275">
        <v>0.1</v>
      </c>
      <c r="G42" s="2">
        <f t="shared" si="80"/>
        <v>5.9085000000000001</v>
      </c>
      <c r="H42" s="269">
        <f t="shared" si="81"/>
        <v>45.298500000000004</v>
      </c>
      <c r="I42" s="9">
        <f t="shared" si="82"/>
        <v>9.5126850000000012</v>
      </c>
      <c r="J42" s="268">
        <f t="shared" si="83"/>
        <v>54.811185000000009</v>
      </c>
      <c r="K42" s="270">
        <v>0</v>
      </c>
      <c r="M42" s="153">
        <f t="shared" si="84"/>
        <v>3.9390000000000001</v>
      </c>
      <c r="N42" s="269">
        <f t="shared" si="85"/>
        <v>43.329000000000001</v>
      </c>
      <c r="O42" s="9">
        <f t="shared" si="86"/>
        <v>9.0990900000000003</v>
      </c>
      <c r="P42" s="268">
        <f t="shared" si="87"/>
        <v>52.428089999999997</v>
      </c>
    </row>
    <row r="43" spans="1:16" x14ac:dyDescent="0.3">
      <c r="A43" s="267" t="s">
        <v>472</v>
      </c>
      <c r="B43" s="324" t="s">
        <v>480</v>
      </c>
      <c r="C43" s="272" t="s">
        <v>277</v>
      </c>
      <c r="D43" s="273">
        <v>40.85</v>
      </c>
      <c r="E43" s="274">
        <v>0.15</v>
      </c>
      <c r="F43" s="275">
        <v>0.1</v>
      </c>
      <c r="G43" s="2">
        <f t="shared" si="80"/>
        <v>6.1275000000000004</v>
      </c>
      <c r="H43" s="269">
        <f t="shared" si="81"/>
        <v>46.977499999999999</v>
      </c>
      <c r="I43" s="9">
        <f t="shared" si="82"/>
        <v>9.8652749999999987</v>
      </c>
      <c r="J43" s="268">
        <f t="shared" si="83"/>
        <v>56.842774999999996</v>
      </c>
      <c r="K43" s="270">
        <v>0</v>
      </c>
      <c r="M43" s="153">
        <f t="shared" si="84"/>
        <v>4.085</v>
      </c>
      <c r="N43" s="269">
        <f t="shared" si="85"/>
        <v>44.935000000000002</v>
      </c>
      <c r="O43" s="9">
        <f t="shared" si="86"/>
        <v>9.4363500000000009</v>
      </c>
      <c r="P43" s="268">
        <f t="shared" si="87"/>
        <v>54.371350000000007</v>
      </c>
    </row>
    <row r="44" spans="1:16" x14ac:dyDescent="0.3">
      <c r="A44" s="267" t="s">
        <v>473</v>
      </c>
      <c r="B44" s="358" t="s">
        <v>953</v>
      </c>
      <c r="C44" s="272" t="s">
        <v>277</v>
      </c>
      <c r="D44" s="273">
        <v>42.31</v>
      </c>
      <c r="E44" s="274">
        <v>0.15</v>
      </c>
      <c r="F44" s="275">
        <v>0.1</v>
      </c>
      <c r="G44" s="2">
        <f t="shared" si="80"/>
        <v>6.3464999999999998</v>
      </c>
      <c r="H44" s="269">
        <f t="shared" si="81"/>
        <v>48.656500000000001</v>
      </c>
      <c r="I44" s="9">
        <f t="shared" si="82"/>
        <v>10.217865</v>
      </c>
      <c r="J44" s="268">
        <f t="shared" si="83"/>
        <v>58.874364999999997</v>
      </c>
      <c r="K44" s="270">
        <v>0</v>
      </c>
      <c r="M44" s="153">
        <f t="shared" si="84"/>
        <v>4.2310000000000008</v>
      </c>
      <c r="N44" s="269">
        <f t="shared" si="85"/>
        <v>46.541000000000004</v>
      </c>
      <c r="O44" s="9">
        <f t="shared" si="86"/>
        <v>9.7736099999999997</v>
      </c>
      <c r="P44" s="268">
        <f t="shared" si="87"/>
        <v>56.314610000000002</v>
      </c>
    </row>
    <row r="45" spans="1:16" x14ac:dyDescent="0.3">
      <c r="A45" s="267" t="s">
        <v>474</v>
      </c>
      <c r="B45" s="358" t="s">
        <v>932</v>
      </c>
      <c r="C45" s="272" t="s">
        <v>277</v>
      </c>
      <c r="D45" s="273">
        <v>43.77</v>
      </c>
      <c r="E45" s="274">
        <v>0.15</v>
      </c>
      <c r="F45" s="275">
        <v>0.1</v>
      </c>
      <c r="G45" s="2">
        <f t="shared" si="80"/>
        <v>6.5655000000000001</v>
      </c>
      <c r="H45" s="269">
        <f t="shared" si="81"/>
        <v>50.335500000000003</v>
      </c>
      <c r="I45" s="9">
        <f t="shared" si="82"/>
        <v>10.570455000000001</v>
      </c>
      <c r="J45" s="268">
        <f t="shared" si="83"/>
        <v>60.905955000000006</v>
      </c>
      <c r="K45" s="270">
        <v>0</v>
      </c>
      <c r="M45" s="153">
        <f t="shared" si="84"/>
        <v>4.3770000000000007</v>
      </c>
      <c r="N45" s="269">
        <f t="shared" si="85"/>
        <v>48.147000000000006</v>
      </c>
      <c r="O45" s="9">
        <f t="shared" si="86"/>
        <v>10.11087</v>
      </c>
      <c r="P45" s="268">
        <f t="shared" si="87"/>
        <v>58.257870000000004</v>
      </c>
    </row>
    <row r="46" spans="1:16" x14ac:dyDescent="0.3">
      <c r="A46" s="267" t="s">
        <v>475</v>
      </c>
      <c r="B46" s="358" t="s">
        <v>487</v>
      </c>
      <c r="C46" s="272" t="s">
        <v>277</v>
      </c>
      <c r="D46" s="273">
        <v>45.23</v>
      </c>
      <c r="E46" s="274">
        <v>0.15</v>
      </c>
      <c r="F46" s="275">
        <v>0.1</v>
      </c>
      <c r="G46" s="2">
        <f t="shared" si="80"/>
        <v>6.7844999999999995</v>
      </c>
      <c r="H46" s="269">
        <f t="shared" si="81"/>
        <v>52.014499999999998</v>
      </c>
      <c r="I46" s="9">
        <f t="shared" si="82"/>
        <v>10.923044999999998</v>
      </c>
      <c r="J46" s="268">
        <f t="shared" si="83"/>
        <v>62.937545</v>
      </c>
      <c r="K46" s="270">
        <v>0</v>
      </c>
      <c r="M46" s="153">
        <f t="shared" si="84"/>
        <v>4.5229999999999997</v>
      </c>
      <c r="N46" s="269">
        <f t="shared" si="85"/>
        <v>49.753</v>
      </c>
      <c r="O46" s="9">
        <f t="shared" si="86"/>
        <v>10.448129999999999</v>
      </c>
      <c r="P46" s="268">
        <f t="shared" si="87"/>
        <v>60.201129999999999</v>
      </c>
    </row>
    <row r="47" spans="1:16" x14ac:dyDescent="0.3">
      <c r="A47" s="267" t="s">
        <v>476</v>
      </c>
      <c r="B47" s="358" t="s">
        <v>481</v>
      </c>
      <c r="C47" s="272" t="s">
        <v>277</v>
      </c>
      <c r="D47" s="273">
        <v>46.69</v>
      </c>
      <c r="E47" s="274">
        <v>0.15</v>
      </c>
      <c r="F47" s="275">
        <v>0.1</v>
      </c>
      <c r="G47" s="2">
        <f t="shared" si="80"/>
        <v>7.0034999999999998</v>
      </c>
      <c r="H47" s="269">
        <f t="shared" si="81"/>
        <v>53.6935</v>
      </c>
      <c r="I47" s="9">
        <f t="shared" si="82"/>
        <v>11.275634999999999</v>
      </c>
      <c r="J47" s="268">
        <f t="shared" si="83"/>
        <v>64.969134999999994</v>
      </c>
      <c r="K47" s="270">
        <v>0</v>
      </c>
      <c r="M47" s="153">
        <f t="shared" si="84"/>
        <v>4.6689999999999996</v>
      </c>
      <c r="N47" s="269">
        <f t="shared" si="85"/>
        <v>51.358999999999995</v>
      </c>
      <c r="O47" s="9">
        <f t="shared" si="86"/>
        <v>10.785389999999998</v>
      </c>
      <c r="P47" s="268">
        <f t="shared" si="87"/>
        <v>62.144389999999994</v>
      </c>
    </row>
    <row r="48" spans="1:16" x14ac:dyDescent="0.3">
      <c r="A48" s="267" t="s">
        <v>477</v>
      </c>
      <c r="B48" s="358" t="s">
        <v>934</v>
      </c>
      <c r="C48" s="272" t="s">
        <v>277</v>
      </c>
      <c r="D48" s="273">
        <v>48.15</v>
      </c>
      <c r="E48" s="274">
        <v>0.15</v>
      </c>
      <c r="F48" s="275">
        <v>0.1</v>
      </c>
      <c r="G48" s="2">
        <f t="shared" si="80"/>
        <v>7.2224999999999993</v>
      </c>
      <c r="H48" s="269">
        <f t="shared" si="81"/>
        <v>55.372499999999995</v>
      </c>
      <c r="I48" s="9">
        <f t="shared" si="82"/>
        <v>11.628224999999999</v>
      </c>
      <c r="J48" s="268">
        <f t="shared" si="83"/>
        <v>67.000724999999989</v>
      </c>
      <c r="K48" s="270">
        <v>0</v>
      </c>
      <c r="M48" s="153">
        <f t="shared" si="84"/>
        <v>4.8150000000000004</v>
      </c>
      <c r="N48" s="269">
        <f t="shared" si="85"/>
        <v>52.964999999999996</v>
      </c>
      <c r="O48" s="9">
        <f t="shared" si="86"/>
        <v>11.122649999999998</v>
      </c>
      <c r="P48" s="268">
        <f t="shared" si="87"/>
        <v>64.087649999999996</v>
      </c>
    </row>
    <row r="49" spans="1:16" x14ac:dyDescent="0.3">
      <c r="A49" s="267" t="s">
        <v>478</v>
      </c>
      <c r="B49" s="358" t="s">
        <v>933</v>
      </c>
      <c r="C49" s="272" t="s">
        <v>277</v>
      </c>
      <c r="D49" s="273">
        <v>49.6099999999999</v>
      </c>
      <c r="E49" s="274">
        <v>0.15</v>
      </c>
      <c r="F49" s="275">
        <v>0.1</v>
      </c>
      <c r="G49" s="2">
        <f t="shared" si="80"/>
        <v>7.4414999999999845</v>
      </c>
      <c r="H49" s="269">
        <f t="shared" si="81"/>
        <v>57.051499999999884</v>
      </c>
      <c r="I49" s="9">
        <f t="shared" si="82"/>
        <v>11.980814999999975</v>
      </c>
      <c r="J49" s="268">
        <f t="shared" si="83"/>
        <v>69.032314999999855</v>
      </c>
      <c r="K49" s="270">
        <v>0</v>
      </c>
      <c r="M49" s="153">
        <f t="shared" si="84"/>
        <v>4.9609999999999905</v>
      </c>
      <c r="N49" s="269">
        <f t="shared" si="85"/>
        <v>54.570999999999891</v>
      </c>
      <c r="O49" s="9">
        <f t="shared" si="86"/>
        <v>11.459909999999978</v>
      </c>
      <c r="P49" s="268">
        <f t="shared" si="87"/>
        <v>66.030909999999864</v>
      </c>
    </row>
    <row r="50" spans="1:16" x14ac:dyDescent="0.3">
      <c r="A50" s="267" t="s">
        <v>770</v>
      </c>
      <c r="B50" s="271" t="s">
        <v>1277</v>
      </c>
      <c r="C50" s="272" t="s">
        <v>277</v>
      </c>
      <c r="D50" s="273">
        <v>51.069999999999901</v>
      </c>
      <c r="E50" s="274">
        <v>0.15</v>
      </c>
      <c r="F50" s="275">
        <v>0.1</v>
      </c>
      <c r="G50" s="2">
        <f t="shared" si="80"/>
        <v>7.6604999999999848</v>
      </c>
      <c r="H50" s="269">
        <f t="shared" si="81"/>
        <v>58.730499999999886</v>
      </c>
      <c r="I50" s="9">
        <f t="shared" si="82"/>
        <v>12.333404999999976</v>
      </c>
      <c r="J50" s="268">
        <f t="shared" si="83"/>
        <v>71.063904999999863</v>
      </c>
      <c r="K50" s="270">
        <v>0</v>
      </c>
      <c r="M50" s="153">
        <f t="shared" si="84"/>
        <v>5.1069999999999904</v>
      </c>
      <c r="N50" s="269">
        <f t="shared" si="85"/>
        <v>56.176999999999893</v>
      </c>
      <c r="O50" s="9">
        <f t="shared" si="86"/>
        <v>11.797169999999976</v>
      </c>
      <c r="P50" s="268">
        <f t="shared" si="87"/>
        <v>67.974169999999873</v>
      </c>
    </row>
    <row r="51" spans="1:16" x14ac:dyDescent="0.3">
      <c r="A51" s="267" t="s">
        <v>771</v>
      </c>
      <c r="B51" s="271" t="s">
        <v>824</v>
      </c>
      <c r="C51" s="272" t="s">
        <v>277</v>
      </c>
      <c r="D51" s="273">
        <v>52.529999999999902</v>
      </c>
      <c r="E51" s="274">
        <v>0.15</v>
      </c>
      <c r="F51" s="275">
        <v>0.1</v>
      </c>
      <c r="G51" s="2">
        <f t="shared" ref="G51" si="88">D51*E51</f>
        <v>7.8794999999999851</v>
      </c>
      <c r="H51" s="269">
        <f t="shared" ref="H51" si="89">G51+D51</f>
        <v>60.409499999999888</v>
      </c>
      <c r="I51" s="9">
        <f t="shared" ref="I51" si="90">H51*0.21</f>
        <v>12.685994999999975</v>
      </c>
      <c r="J51" s="268">
        <f t="shared" ref="J51" si="91">H51+I51</f>
        <v>73.095494999999858</v>
      </c>
      <c r="K51" s="270">
        <v>0</v>
      </c>
      <c r="M51" s="153">
        <f t="shared" ref="M51" si="92">D51*F51</f>
        <v>5.2529999999999903</v>
      </c>
      <c r="N51" s="269">
        <f t="shared" ref="N51" si="93">D51+M51</f>
        <v>57.782999999999895</v>
      </c>
      <c r="O51" s="9">
        <f t="shared" ref="O51" si="94">N51*0.21</f>
        <v>12.134429999999977</v>
      </c>
      <c r="P51" s="268">
        <f t="shared" ref="P51" si="95">N51+O51</f>
        <v>69.917429999999868</v>
      </c>
    </row>
    <row r="52" spans="1:16" x14ac:dyDescent="0.3">
      <c r="A52" s="267" t="s">
        <v>772</v>
      </c>
      <c r="B52" s="271" t="s">
        <v>825</v>
      </c>
      <c r="C52" s="272" t="s">
        <v>277</v>
      </c>
      <c r="D52" s="273">
        <v>53.989999999999903</v>
      </c>
      <c r="E52" s="274">
        <v>0.15</v>
      </c>
      <c r="F52" s="275">
        <v>0.1</v>
      </c>
      <c r="G52" s="2">
        <f t="shared" ref="G52" si="96">D52*E52</f>
        <v>8.0984999999999854</v>
      </c>
      <c r="H52" s="269">
        <f t="shared" ref="H52" si="97">G52+D52</f>
        <v>62.08849999999989</v>
      </c>
      <c r="I52" s="9">
        <f t="shared" ref="I52" si="98">H52*0.21</f>
        <v>13.038584999999976</v>
      </c>
      <c r="J52" s="268">
        <f t="shared" ref="J52" si="99">H52+I52</f>
        <v>75.127084999999866</v>
      </c>
      <c r="K52" s="270">
        <v>0</v>
      </c>
      <c r="M52" s="153">
        <f t="shared" ref="M52" si="100">D52*F52</f>
        <v>5.3989999999999903</v>
      </c>
      <c r="N52" s="269">
        <f t="shared" ref="N52" si="101">D52+M52</f>
        <v>59.388999999999896</v>
      </c>
      <c r="O52" s="9">
        <f t="shared" ref="O52" si="102">N52*0.21</f>
        <v>12.471689999999978</v>
      </c>
      <c r="P52" s="268">
        <f t="shared" ref="P52" si="103">N52+O52</f>
        <v>71.860689999999877</v>
      </c>
    </row>
    <row r="53" spans="1:16" x14ac:dyDescent="0.3">
      <c r="A53" s="267" t="s">
        <v>773</v>
      </c>
      <c r="B53" s="271" t="s">
        <v>593</v>
      </c>
      <c r="C53" s="272" t="s">
        <v>277</v>
      </c>
      <c r="D53" s="273">
        <v>55.449999999999903</v>
      </c>
      <c r="E53" s="274">
        <v>0.15</v>
      </c>
      <c r="F53" s="275">
        <v>0.1</v>
      </c>
      <c r="G53" s="2">
        <f t="shared" ref="G53" si="104">D53*E53</f>
        <v>8.3174999999999848</v>
      </c>
      <c r="H53" s="269">
        <f t="shared" ref="H53" si="105">G53+D53</f>
        <v>63.767499999999885</v>
      </c>
      <c r="I53" s="9">
        <f t="shared" ref="I53" si="106">H53*0.21</f>
        <v>13.391174999999976</v>
      </c>
      <c r="J53" s="268">
        <f t="shared" ref="J53" si="107">H53+I53</f>
        <v>77.15867499999986</v>
      </c>
      <c r="K53" s="270">
        <v>0</v>
      </c>
      <c r="M53" s="153">
        <f t="shared" ref="M53" si="108">D53*F53</f>
        <v>5.544999999999991</v>
      </c>
      <c r="N53" s="269">
        <f t="shared" ref="N53" si="109">D53+M53</f>
        <v>60.994999999999891</v>
      </c>
      <c r="O53" s="9">
        <f t="shared" ref="O53" si="110">N53*0.21</f>
        <v>12.808949999999976</v>
      </c>
      <c r="P53" s="268">
        <f t="shared" ref="P53" si="111">N53+O53</f>
        <v>73.803949999999872</v>
      </c>
    </row>
    <row r="54" spans="1:16" x14ac:dyDescent="0.3">
      <c r="A54" s="267" t="s">
        <v>774</v>
      </c>
      <c r="B54" s="271" t="s">
        <v>594</v>
      </c>
      <c r="C54" s="272" t="s">
        <v>277</v>
      </c>
      <c r="D54" s="273">
        <v>56.909999999999897</v>
      </c>
      <c r="E54" s="274">
        <v>0.15</v>
      </c>
      <c r="F54" s="275">
        <v>0.1</v>
      </c>
      <c r="G54" s="2">
        <f t="shared" ref="G54" si="112">D54*E54</f>
        <v>8.5364999999999842</v>
      </c>
      <c r="H54" s="269">
        <f t="shared" ref="H54" si="113">G54+D54</f>
        <v>65.446499999999887</v>
      </c>
      <c r="I54" s="9">
        <f t="shared" ref="I54" si="114">H54*0.21</f>
        <v>13.743764999999975</v>
      </c>
      <c r="J54" s="268">
        <f t="shared" ref="J54" si="115">H54+I54</f>
        <v>79.190264999999869</v>
      </c>
      <c r="K54" s="270">
        <v>0</v>
      </c>
      <c r="M54" s="153">
        <f t="shared" ref="M54" si="116">D54*F54</f>
        <v>5.6909999999999901</v>
      </c>
      <c r="N54" s="269">
        <f t="shared" ref="N54" si="117">D54+M54</f>
        <v>62.600999999999885</v>
      </c>
      <c r="O54" s="9">
        <f t="shared" ref="O54" si="118">N54*0.21</f>
        <v>13.146209999999975</v>
      </c>
      <c r="P54" s="268">
        <f t="shared" ref="P54" si="119">N54+O54</f>
        <v>75.747209999999853</v>
      </c>
    </row>
    <row r="55" spans="1:16" x14ac:dyDescent="0.3">
      <c r="A55" s="267" t="s">
        <v>775</v>
      </c>
      <c r="B55" s="271" t="s">
        <v>826</v>
      </c>
      <c r="C55" s="272" t="s">
        <v>277</v>
      </c>
      <c r="D55" s="273">
        <v>58.369999999999898</v>
      </c>
      <c r="E55" s="274">
        <v>0.15</v>
      </c>
      <c r="F55" s="275">
        <v>0.1</v>
      </c>
      <c r="G55" s="2">
        <f t="shared" ref="G55" si="120">D55*E55</f>
        <v>8.7554999999999836</v>
      </c>
      <c r="H55" s="269">
        <f t="shared" ref="H55" si="121">G55+D55</f>
        <v>67.125499999999874</v>
      </c>
      <c r="I55" s="9">
        <f t="shared" ref="I55" si="122">H55*0.21</f>
        <v>14.096354999999972</v>
      </c>
      <c r="J55" s="268">
        <f t="shared" ref="J55" si="123">H55+I55</f>
        <v>81.221854999999849</v>
      </c>
      <c r="K55" s="270">
        <v>0</v>
      </c>
      <c r="M55" s="153">
        <f t="shared" ref="M55" si="124">D55*F55</f>
        <v>5.83699999999999</v>
      </c>
      <c r="N55" s="269">
        <f t="shared" ref="N55" si="125">D55+M55</f>
        <v>64.206999999999894</v>
      </c>
      <c r="O55" s="9">
        <f t="shared" ref="O55" si="126">N55*0.21</f>
        <v>13.483469999999977</v>
      </c>
      <c r="P55" s="268">
        <f t="shared" ref="P55" si="127">N55+O55</f>
        <v>77.690469999999877</v>
      </c>
    </row>
    <row r="56" spans="1:16" x14ac:dyDescent="0.3">
      <c r="A56" s="267" t="s">
        <v>776</v>
      </c>
      <c r="B56" s="271" t="s">
        <v>891</v>
      </c>
      <c r="C56" s="272" t="s">
        <v>277</v>
      </c>
      <c r="D56" s="273">
        <v>59.829999999999899</v>
      </c>
      <c r="E56" s="274">
        <v>0.15</v>
      </c>
      <c r="F56" s="275">
        <v>0.1</v>
      </c>
      <c r="G56" s="2">
        <f t="shared" ref="G56:G57" si="128">D56*E56</f>
        <v>8.9744999999999848</v>
      </c>
      <c r="H56" s="269">
        <f t="shared" ref="H56:H57" si="129">G56+D56</f>
        <v>68.804499999999877</v>
      </c>
      <c r="I56" s="9">
        <f t="shared" ref="I56:I57" si="130">H56*0.21</f>
        <v>14.448944999999974</v>
      </c>
      <c r="J56" s="268">
        <f t="shared" ref="J56:J57" si="131">H56+I56</f>
        <v>83.253444999999857</v>
      </c>
      <c r="K56" s="270">
        <v>0</v>
      </c>
      <c r="M56" s="153">
        <f t="shared" ref="M56:M57" si="132">D56*F56</f>
        <v>5.9829999999999899</v>
      </c>
      <c r="N56" s="269">
        <f t="shared" ref="N56:N57" si="133">D56+M56</f>
        <v>65.812999999999889</v>
      </c>
      <c r="O56" s="9">
        <f t="shared" ref="O56:O57" si="134">N56*0.21</f>
        <v>13.820729999999976</v>
      </c>
      <c r="P56" s="268">
        <f t="shared" ref="P56:P57" si="135">N56+O56</f>
        <v>79.633729999999872</v>
      </c>
    </row>
    <row r="57" spans="1:16" x14ac:dyDescent="0.3">
      <c r="A57" s="267" t="s">
        <v>777</v>
      </c>
      <c r="B57" s="271" t="s">
        <v>616</v>
      </c>
      <c r="C57" s="272" t="s">
        <v>277</v>
      </c>
      <c r="D57" s="273">
        <v>61.2899999999999</v>
      </c>
      <c r="E57" s="274">
        <v>0.15</v>
      </c>
      <c r="F57" s="275">
        <v>0.1</v>
      </c>
      <c r="G57" s="2">
        <f t="shared" si="128"/>
        <v>9.1934999999999842</v>
      </c>
      <c r="H57" s="269">
        <f t="shared" si="129"/>
        <v>70.483499999999879</v>
      </c>
      <c r="I57" s="9">
        <f t="shared" si="130"/>
        <v>14.801534999999975</v>
      </c>
      <c r="J57" s="268">
        <f t="shared" si="131"/>
        <v>85.285034999999851</v>
      </c>
      <c r="K57" s="270">
        <v>0</v>
      </c>
      <c r="M57" s="153">
        <f t="shared" si="132"/>
        <v>6.1289999999999907</v>
      </c>
      <c r="N57" s="269">
        <f t="shared" si="133"/>
        <v>67.418999999999897</v>
      </c>
      <c r="O57" s="9">
        <f t="shared" si="134"/>
        <v>14.157989999999979</v>
      </c>
      <c r="P57" s="268">
        <f t="shared" si="135"/>
        <v>81.576989999999881</v>
      </c>
    </row>
    <row r="58" spans="1:16" x14ac:dyDescent="0.3">
      <c r="A58" s="267" t="s">
        <v>778</v>
      </c>
      <c r="B58" s="271" t="s">
        <v>617</v>
      </c>
      <c r="C58" s="272" t="s">
        <v>277</v>
      </c>
      <c r="D58" s="273">
        <v>62.749999999999901</v>
      </c>
      <c r="E58" s="274">
        <v>0.15</v>
      </c>
      <c r="F58" s="275">
        <v>0.1</v>
      </c>
      <c r="G58" s="2">
        <f t="shared" ref="G58" si="136">D58*E58</f>
        <v>9.4124999999999854</v>
      </c>
      <c r="H58" s="269">
        <f t="shared" ref="H58" si="137">G58+D58</f>
        <v>72.162499999999881</v>
      </c>
      <c r="I58" s="9">
        <f t="shared" ref="I58" si="138">H58*0.21</f>
        <v>15.154124999999974</v>
      </c>
      <c r="J58" s="268">
        <f t="shared" ref="J58" si="139">H58+I58</f>
        <v>87.31662499999986</v>
      </c>
      <c r="K58" s="270">
        <v>0</v>
      </c>
      <c r="M58" s="153">
        <f t="shared" ref="M58" si="140">D58*F58</f>
        <v>6.2749999999999906</v>
      </c>
      <c r="N58" s="269">
        <f t="shared" ref="N58" si="141">D58+M58</f>
        <v>69.024999999999892</v>
      </c>
      <c r="O58" s="9">
        <f t="shared" ref="O58" si="142">N58*0.21</f>
        <v>14.495249999999977</v>
      </c>
      <c r="P58" s="268">
        <f t="shared" ref="P58" si="143">N58+O58</f>
        <v>83.520249999999862</v>
      </c>
    </row>
    <row r="59" spans="1:16" x14ac:dyDescent="0.3">
      <c r="A59" s="267" t="s">
        <v>779</v>
      </c>
      <c r="B59" s="271" t="s">
        <v>618</v>
      </c>
      <c r="C59" s="272" t="s">
        <v>277</v>
      </c>
      <c r="D59" s="273">
        <v>64.209999999999894</v>
      </c>
      <c r="E59" s="274">
        <v>0.15</v>
      </c>
      <c r="F59" s="275">
        <v>0.1</v>
      </c>
      <c r="G59" s="2">
        <f t="shared" ref="G59" si="144">D59*E59</f>
        <v>9.6314999999999831</v>
      </c>
      <c r="H59" s="269">
        <f t="shared" ref="H59" si="145">G59+D59</f>
        <v>73.841499999999883</v>
      </c>
      <c r="I59" s="9">
        <f t="shared" ref="I59" si="146">H59*0.21</f>
        <v>15.506714999999975</v>
      </c>
      <c r="J59" s="268">
        <f t="shared" ref="J59" si="147">H59+I59</f>
        <v>89.348214999999854</v>
      </c>
      <c r="K59" s="270">
        <v>0</v>
      </c>
      <c r="M59" s="153">
        <f t="shared" ref="M59" si="148">D59*F59</f>
        <v>6.4209999999999896</v>
      </c>
      <c r="N59" s="269">
        <f t="shared" ref="N59" si="149">D59+M59</f>
        <v>70.630999999999887</v>
      </c>
      <c r="O59" s="9">
        <f t="shared" ref="O59" si="150">N59*0.21</f>
        <v>14.832509999999976</v>
      </c>
      <c r="P59" s="268">
        <f t="shared" ref="P59" si="151">N59+O59</f>
        <v>85.463509999999857</v>
      </c>
    </row>
    <row r="60" spans="1:16" x14ac:dyDescent="0.3">
      <c r="A60" s="267" t="s">
        <v>780</v>
      </c>
      <c r="B60" s="271" t="s">
        <v>756</v>
      </c>
      <c r="C60" s="272" t="s">
        <v>277</v>
      </c>
      <c r="D60" s="273">
        <v>65.669999999999902</v>
      </c>
      <c r="E60" s="274">
        <v>0.15</v>
      </c>
      <c r="F60" s="275">
        <v>0.1</v>
      </c>
      <c r="G60" s="2">
        <f t="shared" ref="G60" si="152">D60*E60</f>
        <v>9.8504999999999843</v>
      </c>
      <c r="H60" s="269">
        <f t="shared" ref="H60" si="153">G60+D60</f>
        <v>75.520499999999885</v>
      </c>
      <c r="I60" s="9">
        <f t="shared" ref="I60" si="154">H60*0.21</f>
        <v>15.859304999999976</v>
      </c>
      <c r="J60" s="268">
        <f t="shared" ref="J60" si="155">H60+I60</f>
        <v>91.379804999999863</v>
      </c>
      <c r="K60" s="270">
        <v>0</v>
      </c>
      <c r="M60" s="153">
        <f t="shared" ref="M60" si="156">D60*F60</f>
        <v>6.5669999999999904</v>
      </c>
      <c r="N60" s="269">
        <f t="shared" ref="N60" si="157">D60+M60</f>
        <v>72.236999999999895</v>
      </c>
      <c r="O60" s="9">
        <f t="shared" ref="O60" si="158">N60*0.21</f>
        <v>15.169769999999977</v>
      </c>
      <c r="P60" s="268">
        <f t="shared" ref="P60" si="159">N60+O60</f>
        <v>87.406769999999867</v>
      </c>
    </row>
    <row r="61" spans="1:16" x14ac:dyDescent="0.3">
      <c r="A61" s="267" t="s">
        <v>781</v>
      </c>
      <c r="B61" s="271" t="s">
        <v>757</v>
      </c>
      <c r="C61" s="272" t="s">
        <v>277</v>
      </c>
      <c r="D61" s="273">
        <v>67.129999999999896</v>
      </c>
      <c r="E61" s="274">
        <v>0.15</v>
      </c>
      <c r="F61" s="275">
        <v>0.1</v>
      </c>
      <c r="G61" s="2">
        <f t="shared" ref="G61" si="160">D61*E61</f>
        <v>10.069499999999984</v>
      </c>
      <c r="H61" s="269">
        <f t="shared" ref="H61" si="161">G61+D61</f>
        <v>77.199499999999887</v>
      </c>
      <c r="I61" s="9">
        <f t="shared" ref="I61" si="162">H61*0.21</f>
        <v>16.211894999999977</v>
      </c>
      <c r="J61" s="268">
        <f t="shared" ref="J61" si="163">H61+I61</f>
        <v>93.411394999999857</v>
      </c>
      <c r="K61" s="270">
        <v>0</v>
      </c>
      <c r="M61" s="153">
        <f t="shared" ref="M61" si="164">D61*F61</f>
        <v>6.7129999999999903</v>
      </c>
      <c r="N61" s="269">
        <f t="shared" ref="N61" si="165">D61+M61</f>
        <v>73.84299999999989</v>
      </c>
      <c r="O61" s="9">
        <f t="shared" ref="O61" si="166">N61*0.21</f>
        <v>15.507029999999975</v>
      </c>
      <c r="P61" s="268">
        <f t="shared" ref="P61" si="167">N61+O61</f>
        <v>89.350029999999862</v>
      </c>
    </row>
    <row r="62" spans="1:16" x14ac:dyDescent="0.3">
      <c r="A62" s="267" t="s">
        <v>782</v>
      </c>
      <c r="B62" s="358" t="s">
        <v>758</v>
      </c>
      <c r="C62" s="272" t="s">
        <v>277</v>
      </c>
      <c r="D62" s="273">
        <v>68.589999999999904</v>
      </c>
      <c r="E62" s="274">
        <v>0.15</v>
      </c>
      <c r="F62" s="275">
        <v>0.1</v>
      </c>
      <c r="G62" s="2">
        <f t="shared" ref="G62" si="168">D62*E62</f>
        <v>10.288499999999985</v>
      </c>
      <c r="H62" s="269">
        <f t="shared" ref="H62" si="169">G62+D62</f>
        <v>78.878499999999889</v>
      </c>
      <c r="I62" s="9">
        <f t="shared" ref="I62" si="170">H62*0.21</f>
        <v>16.564484999999976</v>
      </c>
      <c r="J62" s="268">
        <f t="shared" ref="J62" si="171">H62+I62</f>
        <v>95.442984999999865</v>
      </c>
      <c r="K62" s="270">
        <v>0</v>
      </c>
      <c r="M62" s="153">
        <f t="shared" ref="M62" si="172">D62*F62</f>
        <v>6.8589999999999911</v>
      </c>
      <c r="N62" s="269">
        <f t="shared" ref="N62" si="173">D62+M62</f>
        <v>75.448999999999899</v>
      </c>
      <c r="O62" s="9">
        <f t="shared" ref="O62" si="174">N62*0.21</f>
        <v>15.844289999999978</v>
      </c>
      <c r="P62" s="268">
        <f t="shared" ref="P62" si="175">N62+O62</f>
        <v>91.293289999999871</v>
      </c>
    </row>
    <row r="63" spans="1:16" x14ac:dyDescent="0.3">
      <c r="A63" s="267" t="s">
        <v>783</v>
      </c>
      <c r="B63" s="358" t="s">
        <v>759</v>
      </c>
      <c r="C63" s="272" t="s">
        <v>277</v>
      </c>
      <c r="D63" s="273">
        <v>70.049999999999898</v>
      </c>
      <c r="E63" s="274">
        <v>0.15</v>
      </c>
      <c r="F63" s="275">
        <v>0.1</v>
      </c>
      <c r="G63" s="2">
        <f t="shared" ref="G63" si="176">D63*E63</f>
        <v>10.507499999999984</v>
      </c>
      <c r="H63" s="269">
        <f t="shared" ref="H63" si="177">G63+D63</f>
        <v>80.557499999999877</v>
      </c>
      <c r="I63" s="9">
        <f t="shared" ref="I63" si="178">H63*0.21</f>
        <v>16.917074999999972</v>
      </c>
      <c r="J63" s="268">
        <f t="shared" ref="J63" si="179">H63+I63</f>
        <v>97.474574999999845</v>
      </c>
      <c r="K63" s="270">
        <v>0</v>
      </c>
      <c r="M63" s="153">
        <f t="shared" ref="M63" si="180">D63*F63</f>
        <v>7.0049999999999901</v>
      </c>
      <c r="N63" s="269">
        <f t="shared" ref="N63" si="181">D63+M63</f>
        <v>77.054999999999893</v>
      </c>
      <c r="O63" s="9">
        <f t="shared" ref="O63" si="182">N63*0.21</f>
        <v>16.181549999999977</v>
      </c>
      <c r="P63" s="268">
        <f t="shared" ref="P63" si="183">N63+O63</f>
        <v>93.236549999999866</v>
      </c>
    </row>
    <row r="64" spans="1:16" x14ac:dyDescent="0.3">
      <c r="A64" s="267" t="s">
        <v>784</v>
      </c>
      <c r="B64" s="358" t="s">
        <v>809</v>
      </c>
      <c r="C64" s="272" t="s">
        <v>277</v>
      </c>
      <c r="D64" s="273">
        <v>71.509999999999906</v>
      </c>
      <c r="E64" s="274">
        <v>0.15</v>
      </c>
      <c r="F64" s="275">
        <v>0.1</v>
      </c>
      <c r="G64" s="2">
        <f t="shared" ref="G64" si="184">D64*E64</f>
        <v>10.726499999999985</v>
      </c>
      <c r="H64" s="269">
        <f t="shared" ref="H64" si="185">G64+D64</f>
        <v>82.236499999999893</v>
      </c>
      <c r="I64" s="9">
        <f t="shared" ref="I64" si="186">H64*0.21</f>
        <v>17.269664999999979</v>
      </c>
      <c r="J64" s="268">
        <f t="shared" ref="J64" si="187">H64+I64</f>
        <v>99.506164999999868</v>
      </c>
      <c r="K64" s="270">
        <v>0</v>
      </c>
      <c r="M64" s="153">
        <f t="shared" ref="M64" si="188">D64*F64</f>
        <v>7.1509999999999909</v>
      </c>
      <c r="N64" s="269">
        <f t="shared" ref="N64" si="189">D64+M64</f>
        <v>78.660999999999902</v>
      </c>
      <c r="O64" s="9">
        <f t="shared" ref="O64" si="190">N64*0.21</f>
        <v>16.518809999999977</v>
      </c>
      <c r="P64" s="268">
        <f t="shared" ref="P64" si="191">N64+O64</f>
        <v>95.179809999999875</v>
      </c>
    </row>
    <row r="65" spans="1:16" x14ac:dyDescent="0.3">
      <c r="A65" s="267" t="s">
        <v>785</v>
      </c>
      <c r="B65" s="358" t="s">
        <v>1002</v>
      </c>
      <c r="C65" s="272" t="s">
        <v>277</v>
      </c>
      <c r="D65" s="273">
        <v>72.969999999999899</v>
      </c>
      <c r="E65" s="274">
        <v>0.15</v>
      </c>
      <c r="F65" s="275">
        <v>0.1</v>
      </c>
      <c r="G65" s="2">
        <f t="shared" ref="G65" si="192">D65*E65</f>
        <v>10.945499999999985</v>
      </c>
      <c r="H65" s="269">
        <f t="shared" ref="H65" si="193">G65+D65</f>
        <v>83.915499999999881</v>
      </c>
      <c r="I65" s="9">
        <f t="shared" ref="I65" si="194">H65*0.21</f>
        <v>17.622254999999974</v>
      </c>
      <c r="J65" s="268">
        <f t="shared" ref="J65" si="195">H65+I65</f>
        <v>101.53775499999986</v>
      </c>
      <c r="K65" s="270">
        <v>0</v>
      </c>
      <c r="M65" s="153">
        <f t="shared" ref="M65" si="196">D65*F65</f>
        <v>7.2969999999999899</v>
      </c>
      <c r="N65" s="269">
        <f t="shared" ref="N65" si="197">D65+M65</f>
        <v>80.266999999999882</v>
      </c>
      <c r="O65" s="9">
        <f t="shared" ref="O65" si="198">N65*0.21</f>
        <v>16.856069999999974</v>
      </c>
      <c r="P65" s="268">
        <f t="shared" ref="P65" si="199">N65+O65</f>
        <v>97.123069999999856</v>
      </c>
    </row>
    <row r="66" spans="1:16" x14ac:dyDescent="0.3">
      <c r="A66" s="267" t="s">
        <v>789</v>
      </c>
      <c r="B66" s="358" t="s">
        <v>1000</v>
      </c>
      <c r="C66" s="272" t="s">
        <v>277</v>
      </c>
      <c r="D66" s="273">
        <v>74.429999999999893</v>
      </c>
      <c r="E66" s="274">
        <v>0.15</v>
      </c>
      <c r="F66" s="275">
        <v>0.1</v>
      </c>
      <c r="G66" s="2">
        <f t="shared" ref="G66" si="200">D66*E66</f>
        <v>11.164499999999984</v>
      </c>
      <c r="H66" s="269">
        <f t="shared" ref="H66" si="201">G66+D66</f>
        <v>85.594499999999883</v>
      </c>
      <c r="I66" s="9">
        <f t="shared" ref="I66" si="202">H66*0.21</f>
        <v>17.974844999999974</v>
      </c>
      <c r="J66" s="268">
        <f t="shared" ref="J66" si="203">H66+I66</f>
        <v>103.56934499999986</v>
      </c>
      <c r="K66" s="270">
        <v>0</v>
      </c>
      <c r="M66" s="153">
        <f t="shared" ref="M66" si="204">D66*F66</f>
        <v>7.4429999999999898</v>
      </c>
      <c r="N66" s="269">
        <f t="shared" ref="N66" si="205">D66+M66</f>
        <v>81.872999999999877</v>
      </c>
      <c r="O66" s="9">
        <f t="shared" ref="O66" si="206">N66*0.21</f>
        <v>17.193329999999975</v>
      </c>
      <c r="P66" s="268">
        <f t="shared" ref="P66" si="207">N66+O66</f>
        <v>99.066329999999851</v>
      </c>
    </row>
    <row r="67" spans="1:16" x14ac:dyDescent="0.3">
      <c r="A67" s="267" t="s">
        <v>790</v>
      </c>
      <c r="B67" s="358" t="s">
        <v>1001</v>
      </c>
      <c r="C67" s="272" t="s">
        <v>277</v>
      </c>
      <c r="D67" s="273">
        <v>75.889999999999901</v>
      </c>
      <c r="E67" s="274">
        <v>0.15</v>
      </c>
      <c r="F67" s="275">
        <v>0.1</v>
      </c>
      <c r="G67" s="2">
        <f t="shared" ref="G67" si="208">D67*E67</f>
        <v>11.383499999999986</v>
      </c>
      <c r="H67" s="269">
        <f t="shared" ref="H67" si="209">G67+D67</f>
        <v>87.273499999999885</v>
      </c>
      <c r="I67" s="9">
        <f t="shared" ref="I67" si="210">H67*0.21</f>
        <v>18.327434999999976</v>
      </c>
      <c r="J67" s="268">
        <f t="shared" ref="J67" si="211">H67+I67</f>
        <v>105.60093499999986</v>
      </c>
      <c r="K67" s="270">
        <v>0</v>
      </c>
      <c r="M67" s="153">
        <f t="shared" ref="M67" si="212">D67*F67</f>
        <v>7.5889999999999906</v>
      </c>
      <c r="N67" s="269">
        <f t="shared" ref="N67" si="213">D67+M67</f>
        <v>83.478999999999886</v>
      </c>
      <c r="O67" s="9">
        <f t="shared" ref="O67" si="214">N67*0.21</f>
        <v>17.530589999999975</v>
      </c>
      <c r="P67" s="268">
        <f t="shared" ref="P67" si="215">N67+O67</f>
        <v>101.00958999999986</v>
      </c>
    </row>
    <row r="68" spans="1:16" x14ac:dyDescent="0.3">
      <c r="A68" s="267" t="s">
        <v>791</v>
      </c>
      <c r="B68" s="358" t="s">
        <v>797</v>
      </c>
      <c r="C68" s="272" t="s">
        <v>277</v>
      </c>
      <c r="D68" s="273">
        <v>77.349999999999895</v>
      </c>
      <c r="E68" s="274">
        <v>0.15</v>
      </c>
      <c r="F68" s="275">
        <v>0.1</v>
      </c>
      <c r="G68" s="2">
        <f t="shared" ref="G68" si="216">D68*E68</f>
        <v>11.602499999999983</v>
      </c>
      <c r="H68" s="269">
        <f t="shared" ref="H68" si="217">G68+D68</f>
        <v>88.952499999999873</v>
      </c>
      <c r="I68" s="9">
        <f t="shared" ref="I68" si="218">H68*0.21</f>
        <v>18.680024999999972</v>
      </c>
      <c r="J68" s="268">
        <f t="shared" ref="J68" si="219">H68+I68</f>
        <v>107.63252499999984</v>
      </c>
      <c r="K68" s="270">
        <v>0</v>
      </c>
      <c r="M68" s="153">
        <f t="shared" ref="M68" si="220">D68*F68</f>
        <v>7.7349999999999897</v>
      </c>
      <c r="N68" s="269">
        <f t="shared" ref="N68" si="221">D68+M68</f>
        <v>85.08499999999988</v>
      </c>
      <c r="O68" s="9">
        <f t="shared" ref="O68" si="222">N68*0.21</f>
        <v>17.867849999999976</v>
      </c>
      <c r="P68" s="268">
        <f t="shared" ref="P68" si="223">N68+O68</f>
        <v>102.95284999999986</v>
      </c>
    </row>
    <row r="69" spans="1:16" x14ac:dyDescent="0.3">
      <c r="A69" s="267" t="s">
        <v>796</v>
      </c>
      <c r="B69" s="358" t="s">
        <v>799</v>
      </c>
      <c r="C69" s="272" t="s">
        <v>277</v>
      </c>
      <c r="D69" s="273">
        <v>78.809999999999903</v>
      </c>
      <c r="E69" s="274">
        <v>0.15</v>
      </c>
      <c r="F69" s="275">
        <v>0.1</v>
      </c>
      <c r="G69" s="2">
        <f t="shared" ref="G69" si="224">D69*E69</f>
        <v>11.821499999999984</v>
      </c>
      <c r="H69" s="269">
        <f t="shared" ref="H69" si="225">G69+D69</f>
        <v>90.631499999999889</v>
      </c>
      <c r="I69" s="9">
        <f t="shared" ref="I69" si="226">H69*0.21</f>
        <v>19.032614999999975</v>
      </c>
      <c r="J69" s="268">
        <f t="shared" ref="J69" si="227">H69+I69</f>
        <v>109.66411499999987</v>
      </c>
      <c r="K69" s="270">
        <v>0</v>
      </c>
      <c r="M69" s="153">
        <f t="shared" ref="M69" si="228">D69*F69</f>
        <v>7.8809999999999905</v>
      </c>
      <c r="N69" s="269">
        <f t="shared" ref="N69" si="229">D69+M69</f>
        <v>86.690999999999889</v>
      </c>
      <c r="O69" s="9">
        <f t="shared" ref="O69" si="230">N69*0.21</f>
        <v>18.205109999999976</v>
      </c>
      <c r="P69" s="268">
        <f t="shared" ref="P69" si="231">N69+O69</f>
        <v>104.89610999999987</v>
      </c>
    </row>
    <row r="70" spans="1:16" x14ac:dyDescent="0.3">
      <c r="A70" s="267" t="s">
        <v>798</v>
      </c>
      <c r="B70" s="358" t="s">
        <v>801</v>
      </c>
      <c r="C70" s="272" t="s">
        <v>277</v>
      </c>
      <c r="D70" s="273">
        <v>80.269999999999897</v>
      </c>
      <c r="E70" s="274">
        <v>0.15</v>
      </c>
      <c r="F70" s="275">
        <v>0.1</v>
      </c>
      <c r="G70" s="2">
        <f t="shared" ref="G70" si="232">D70*E70</f>
        <v>12.040499999999984</v>
      </c>
      <c r="H70" s="269">
        <f t="shared" ref="H70" si="233">G70+D70</f>
        <v>92.310499999999877</v>
      </c>
      <c r="I70" s="9">
        <f t="shared" ref="I70" si="234">H70*0.21</f>
        <v>19.385204999999974</v>
      </c>
      <c r="J70" s="268">
        <f t="shared" ref="J70" si="235">H70+I70</f>
        <v>111.69570499999985</v>
      </c>
      <c r="K70" s="270">
        <v>0</v>
      </c>
      <c r="M70" s="153">
        <f t="shared" ref="M70" si="236">D70*F70</f>
        <v>8.0269999999999904</v>
      </c>
      <c r="N70" s="269">
        <f t="shared" ref="N70" si="237">D70+M70</f>
        <v>88.296999999999883</v>
      </c>
      <c r="O70" s="9">
        <f t="shared" ref="O70" si="238">N70*0.21</f>
        <v>18.542369999999973</v>
      </c>
      <c r="P70" s="268">
        <f t="shared" ref="P70" si="239">N70+O70</f>
        <v>106.83936999999986</v>
      </c>
    </row>
    <row r="71" spans="1:16" x14ac:dyDescent="0.3">
      <c r="A71" s="267" t="s">
        <v>800</v>
      </c>
      <c r="B71" s="358" t="s">
        <v>897</v>
      </c>
      <c r="C71" s="272" t="s">
        <v>277</v>
      </c>
      <c r="D71" s="273">
        <v>81.729999999999905</v>
      </c>
      <c r="E71" s="274">
        <v>0.15</v>
      </c>
      <c r="F71" s="275">
        <v>0.1</v>
      </c>
      <c r="G71" s="2">
        <f t="shared" ref="G71" si="240">D71*E71</f>
        <v>12.259499999999985</v>
      </c>
      <c r="H71" s="269">
        <f t="shared" ref="H71" si="241">G71+D71</f>
        <v>93.989499999999893</v>
      </c>
      <c r="I71" s="9">
        <f t="shared" ref="I71" si="242">H71*0.21</f>
        <v>19.737794999999977</v>
      </c>
      <c r="J71" s="268">
        <f t="shared" ref="J71" si="243">H71+I71</f>
        <v>113.72729499999987</v>
      </c>
      <c r="K71" s="270">
        <v>0</v>
      </c>
      <c r="M71" s="153">
        <f t="shared" ref="M71" si="244">D71*F71</f>
        <v>8.1729999999999912</v>
      </c>
      <c r="N71" s="269">
        <f t="shared" ref="N71" si="245">D71+M71</f>
        <v>89.902999999999892</v>
      </c>
      <c r="O71" s="9">
        <f t="shared" ref="O71" si="246">N71*0.21</f>
        <v>18.879629999999977</v>
      </c>
      <c r="P71" s="268">
        <f t="shared" ref="P71" si="247">N71+O71</f>
        <v>108.78262999999987</v>
      </c>
    </row>
    <row r="72" spans="1:16" x14ac:dyDescent="0.3">
      <c r="A72" s="267" t="s">
        <v>802</v>
      </c>
      <c r="B72" s="358" t="s">
        <v>804</v>
      </c>
      <c r="C72" s="272" t="s">
        <v>277</v>
      </c>
      <c r="D72" s="273">
        <v>83.189999999999898</v>
      </c>
      <c r="E72" s="274">
        <v>0.15</v>
      </c>
      <c r="F72" s="275">
        <v>0.1</v>
      </c>
      <c r="G72" s="2">
        <f t="shared" ref="G72" si="248">D72*E72</f>
        <v>12.478499999999984</v>
      </c>
      <c r="H72" s="269">
        <f t="shared" ref="H72" si="249">G72+D72</f>
        <v>95.668499999999881</v>
      </c>
      <c r="I72" s="9">
        <f t="shared" ref="I72" si="250">H72*0.21</f>
        <v>20.090384999999973</v>
      </c>
      <c r="J72" s="268">
        <f t="shared" ref="J72" si="251">H72+I72</f>
        <v>115.75888499999985</v>
      </c>
      <c r="K72" s="270">
        <v>0</v>
      </c>
      <c r="M72" s="153">
        <f t="shared" ref="M72" si="252">D72*F72</f>
        <v>8.3189999999999902</v>
      </c>
      <c r="N72" s="269">
        <f t="shared" ref="N72" si="253">D72+M72</f>
        <v>91.508999999999887</v>
      </c>
      <c r="O72" s="9">
        <f t="shared" ref="O72" si="254">N72*0.21</f>
        <v>19.216889999999974</v>
      </c>
      <c r="P72" s="268">
        <f t="shared" ref="P72" si="255">N72+O72</f>
        <v>110.72588999999986</v>
      </c>
    </row>
    <row r="73" spans="1:16" x14ac:dyDescent="0.3">
      <c r="A73" s="267" t="s">
        <v>803</v>
      </c>
      <c r="B73" s="358" t="s">
        <v>941</v>
      </c>
      <c r="C73" s="272" t="s">
        <v>277</v>
      </c>
      <c r="D73" s="273">
        <v>84.649999999999906</v>
      </c>
      <c r="E73" s="274">
        <v>0.15</v>
      </c>
      <c r="F73" s="275">
        <v>0.1</v>
      </c>
      <c r="G73" s="2">
        <f t="shared" ref="G73:G74" si="256">D73*E73</f>
        <v>12.697499999999986</v>
      </c>
      <c r="H73" s="269">
        <f t="shared" ref="H73:H74" si="257">G73+D73</f>
        <v>97.347499999999897</v>
      </c>
      <c r="I73" s="9">
        <f t="shared" ref="I73:I74" si="258">H73*0.21</f>
        <v>20.442974999999979</v>
      </c>
      <c r="J73" s="268">
        <f t="shared" ref="J73:J74" si="259">H73+I73</f>
        <v>117.79047499999987</v>
      </c>
      <c r="K73" s="270">
        <v>0</v>
      </c>
      <c r="M73" s="153">
        <f t="shared" ref="M73:M74" si="260">D73*F73</f>
        <v>8.464999999999991</v>
      </c>
      <c r="N73" s="269">
        <f t="shared" ref="N73:N74" si="261">D73+M73</f>
        <v>93.114999999999895</v>
      </c>
      <c r="O73" s="9">
        <f t="shared" ref="O73:O74" si="262">N73*0.21</f>
        <v>19.554149999999979</v>
      </c>
      <c r="P73" s="268">
        <f t="shared" ref="P73:P74" si="263">N73+O73</f>
        <v>112.66914999999987</v>
      </c>
    </row>
    <row r="74" spans="1:16" x14ac:dyDescent="0.3">
      <c r="A74" s="267" t="s">
        <v>1189</v>
      </c>
      <c r="B74" s="271" t="s">
        <v>828</v>
      </c>
      <c r="C74" s="272" t="s">
        <v>277</v>
      </c>
      <c r="D74" s="273">
        <v>86.1099999999999</v>
      </c>
      <c r="E74" s="274">
        <v>0.15</v>
      </c>
      <c r="F74" s="275">
        <v>0.1</v>
      </c>
      <c r="G74" s="2">
        <f t="shared" si="256"/>
        <v>12.916499999999985</v>
      </c>
      <c r="H74" s="269">
        <f t="shared" si="257"/>
        <v>99.026499999999885</v>
      </c>
      <c r="I74" s="9">
        <f t="shared" si="258"/>
        <v>20.795564999999975</v>
      </c>
      <c r="J74" s="268">
        <f t="shared" si="259"/>
        <v>119.82206499999987</v>
      </c>
      <c r="K74" s="270">
        <v>0</v>
      </c>
      <c r="M74" s="153">
        <f t="shared" si="260"/>
        <v>8.61099999999999</v>
      </c>
      <c r="N74" s="269">
        <f t="shared" si="261"/>
        <v>94.72099999999989</v>
      </c>
      <c r="O74" s="9">
        <f t="shared" si="262"/>
        <v>19.891409999999976</v>
      </c>
      <c r="P74" s="268">
        <f t="shared" si="263"/>
        <v>114.61240999999987</v>
      </c>
    </row>
    <row r="75" spans="1:16" x14ac:dyDescent="0.3">
      <c r="A75" s="267" t="s">
        <v>1190</v>
      </c>
      <c r="B75" s="271" t="s">
        <v>895</v>
      </c>
      <c r="C75" s="272" t="s">
        <v>277</v>
      </c>
      <c r="D75" s="273">
        <v>87.569999999999894</v>
      </c>
      <c r="E75" s="274">
        <v>0.15</v>
      </c>
      <c r="F75" s="275">
        <v>0.1</v>
      </c>
      <c r="G75" s="2">
        <f t="shared" ref="G75" si="264">D75*E75</f>
        <v>13.135499999999984</v>
      </c>
      <c r="H75" s="269">
        <f t="shared" ref="H75" si="265">G75+D75</f>
        <v>100.70549999999987</v>
      </c>
      <c r="I75" s="9">
        <f t="shared" ref="I75" si="266">H75*0.21</f>
        <v>21.148154999999971</v>
      </c>
      <c r="J75" s="268">
        <f t="shared" ref="J75" si="267">H75+I75</f>
        <v>121.85365499999985</v>
      </c>
      <c r="K75" s="270">
        <v>0</v>
      </c>
      <c r="M75" s="153">
        <f t="shared" ref="M75" si="268">D75*F75</f>
        <v>8.756999999999989</v>
      </c>
      <c r="N75" s="269">
        <f t="shared" ref="N75" si="269">D75+M75</f>
        <v>96.326999999999884</v>
      </c>
      <c r="O75" s="9">
        <f t="shared" ref="O75" si="270">N75*0.21</f>
        <v>20.228669999999976</v>
      </c>
      <c r="P75" s="268">
        <f t="shared" ref="P75" si="271">N75+O75</f>
        <v>116.55566999999986</v>
      </c>
    </row>
    <row r="76" spans="1:16" x14ac:dyDescent="0.3">
      <c r="A76" s="267" t="s">
        <v>1191</v>
      </c>
      <c r="B76" s="271" t="s">
        <v>896</v>
      </c>
      <c r="C76" s="272" t="s">
        <v>277</v>
      </c>
      <c r="D76" s="273">
        <v>89.029999999999902</v>
      </c>
      <c r="E76" s="274">
        <v>0.15</v>
      </c>
      <c r="F76" s="275">
        <v>0.1</v>
      </c>
      <c r="G76" s="2">
        <f t="shared" ref="G76" si="272">D76*E76</f>
        <v>13.354499999999986</v>
      </c>
      <c r="H76" s="269">
        <f t="shared" ref="H76" si="273">G76+D76</f>
        <v>102.38449999999989</v>
      </c>
      <c r="I76" s="9">
        <f t="shared" ref="I76" si="274">H76*0.21</f>
        <v>21.500744999999977</v>
      </c>
      <c r="J76" s="268">
        <f t="shared" ref="J76" si="275">H76+I76</f>
        <v>123.88524499999987</v>
      </c>
      <c r="K76" s="270">
        <v>0</v>
      </c>
      <c r="M76" s="153">
        <f t="shared" ref="M76" si="276">D76*F76</f>
        <v>8.9029999999999898</v>
      </c>
      <c r="N76" s="269">
        <f t="shared" ref="N76" si="277">D76+M76</f>
        <v>97.932999999999893</v>
      </c>
      <c r="O76" s="9">
        <f t="shared" ref="O76" si="278">N76*0.21</f>
        <v>20.565929999999977</v>
      </c>
      <c r="P76" s="268">
        <f t="shared" ref="P76" si="279">N76+O76</f>
        <v>118.49892999999987</v>
      </c>
    </row>
    <row r="77" spans="1:16" x14ac:dyDescent="0.3">
      <c r="A77" s="267" t="s">
        <v>1192</v>
      </c>
      <c r="B77" s="271" t="s">
        <v>898</v>
      </c>
      <c r="C77" s="272" t="s">
        <v>277</v>
      </c>
      <c r="D77" s="273">
        <v>90.489999999999895</v>
      </c>
      <c r="E77" s="274">
        <v>0.15</v>
      </c>
      <c r="F77" s="275">
        <v>0.1</v>
      </c>
      <c r="G77" s="2">
        <f t="shared" ref="G77" si="280">D77*E77</f>
        <v>13.573499999999983</v>
      </c>
      <c r="H77" s="269">
        <f t="shared" ref="H77" si="281">G77+D77</f>
        <v>104.06349999999988</v>
      </c>
      <c r="I77" s="9">
        <f t="shared" ref="I77" si="282">H77*0.21</f>
        <v>21.853334999999973</v>
      </c>
      <c r="J77" s="268">
        <f t="shared" ref="J77" si="283">H77+I77</f>
        <v>125.91683499999985</v>
      </c>
      <c r="K77" s="270">
        <v>0</v>
      </c>
      <c r="M77" s="153">
        <f t="shared" ref="M77" si="284">D77*F77</f>
        <v>9.0489999999999906</v>
      </c>
      <c r="N77" s="269">
        <f t="shared" ref="N77" si="285">D77+M77</f>
        <v>99.538999999999888</v>
      </c>
      <c r="O77" s="9">
        <f t="shared" ref="O77" si="286">N77*0.21</f>
        <v>20.903189999999977</v>
      </c>
      <c r="P77" s="268">
        <f t="shared" ref="P77" si="287">N77+O77</f>
        <v>120.44218999999987</v>
      </c>
    </row>
    <row r="78" spans="1:16" x14ac:dyDescent="0.3">
      <c r="A78" s="267" t="s">
        <v>1193</v>
      </c>
      <c r="B78" s="271" t="s">
        <v>901</v>
      </c>
      <c r="C78" s="272" t="s">
        <v>277</v>
      </c>
      <c r="D78" s="273">
        <v>91.949999999999903</v>
      </c>
      <c r="E78" s="274">
        <v>0.15</v>
      </c>
      <c r="F78" s="275">
        <v>0.1</v>
      </c>
      <c r="G78" s="2">
        <f t="shared" ref="G78" si="288">D78*E78</f>
        <v>13.792499999999984</v>
      </c>
      <c r="H78" s="269">
        <f t="shared" ref="H78" si="289">G78+D78</f>
        <v>105.74249999999989</v>
      </c>
      <c r="I78" s="9">
        <f t="shared" ref="I78" si="290">H78*0.21</f>
        <v>22.205924999999976</v>
      </c>
      <c r="J78" s="268">
        <f t="shared" ref="J78" si="291">H78+I78</f>
        <v>127.94842499999987</v>
      </c>
      <c r="K78" s="270">
        <v>0</v>
      </c>
      <c r="M78" s="153">
        <f t="shared" ref="M78" si="292">D78*F78</f>
        <v>9.1949999999999914</v>
      </c>
      <c r="N78" s="269">
        <f t="shared" ref="N78" si="293">D78+M78</f>
        <v>101.1449999999999</v>
      </c>
      <c r="O78" s="9">
        <f t="shared" ref="O78" si="294">N78*0.21</f>
        <v>21.240449999999978</v>
      </c>
      <c r="P78" s="268">
        <f t="shared" ref="P78" si="295">N78+O78</f>
        <v>122.38544999999988</v>
      </c>
    </row>
    <row r="79" spans="1:16" x14ac:dyDescent="0.3">
      <c r="A79" s="267" t="s">
        <v>1194</v>
      </c>
      <c r="B79" s="271" t="s">
        <v>902</v>
      </c>
      <c r="C79" s="272" t="s">
        <v>277</v>
      </c>
      <c r="D79" s="273">
        <v>93.409999999999897</v>
      </c>
      <c r="E79" s="274">
        <v>0.15</v>
      </c>
      <c r="F79" s="275">
        <v>0.1</v>
      </c>
      <c r="G79" s="2">
        <f t="shared" ref="G79" si="296">D79*E79</f>
        <v>14.011499999999984</v>
      </c>
      <c r="H79" s="269">
        <f t="shared" ref="H79" si="297">G79+D79</f>
        <v>107.42149999999988</v>
      </c>
      <c r="I79" s="9">
        <f t="shared" ref="I79" si="298">H79*0.21</f>
        <v>22.558514999999975</v>
      </c>
      <c r="J79" s="268">
        <f t="shared" ref="J79" si="299">H79+I79</f>
        <v>129.98001499999987</v>
      </c>
      <c r="K79" s="270">
        <v>0</v>
      </c>
      <c r="M79" s="153">
        <f t="shared" ref="M79" si="300">D79*F79</f>
        <v>9.3409999999999904</v>
      </c>
      <c r="N79" s="269">
        <f t="shared" ref="N79" si="301">D79+M79</f>
        <v>102.75099999999989</v>
      </c>
      <c r="O79" s="9">
        <f t="shared" ref="O79" si="302">N79*0.21</f>
        <v>21.577709999999975</v>
      </c>
      <c r="P79" s="268">
        <f t="shared" ref="P79" si="303">N79+O79</f>
        <v>124.32870999999986</v>
      </c>
    </row>
    <row r="80" spans="1:16" x14ac:dyDescent="0.3">
      <c r="A80" s="267" t="s">
        <v>1195</v>
      </c>
      <c r="B80" s="271" t="s">
        <v>904</v>
      </c>
      <c r="C80" s="272" t="s">
        <v>277</v>
      </c>
      <c r="D80" s="273">
        <v>94.869999999999905</v>
      </c>
      <c r="E80" s="274">
        <v>0.15</v>
      </c>
      <c r="F80" s="275">
        <v>0.1</v>
      </c>
      <c r="G80" s="2">
        <f t="shared" ref="G80:G81" si="304">D80*E80</f>
        <v>14.230499999999985</v>
      </c>
      <c r="H80" s="269">
        <f t="shared" ref="H80:H81" si="305">G80+D80</f>
        <v>109.1004999999999</v>
      </c>
      <c r="I80" s="9">
        <f t="shared" ref="I80:I81" si="306">H80*0.21</f>
        <v>22.911104999999978</v>
      </c>
      <c r="J80" s="268">
        <f t="shared" ref="J80:J81" si="307">H80+I80</f>
        <v>132.01160499999986</v>
      </c>
      <c r="K80" s="270">
        <v>0</v>
      </c>
      <c r="M80" s="153">
        <f t="shared" ref="M80:M81" si="308">D80*F80</f>
        <v>9.4869999999999912</v>
      </c>
      <c r="N80" s="269">
        <f t="shared" ref="N80:N81" si="309">D80+M80</f>
        <v>104.3569999999999</v>
      </c>
      <c r="O80" s="9">
        <f t="shared" ref="O80:O81" si="310">N80*0.21</f>
        <v>21.914969999999979</v>
      </c>
      <c r="P80" s="268">
        <f t="shared" ref="P80:P81" si="311">N80+O80</f>
        <v>126.27196999999988</v>
      </c>
    </row>
    <row r="81" spans="1:16" x14ac:dyDescent="0.3">
      <c r="A81" s="267" t="s">
        <v>1196</v>
      </c>
      <c r="B81" s="271" t="s">
        <v>939</v>
      </c>
      <c r="C81" s="272" t="s">
        <v>277</v>
      </c>
      <c r="D81" s="273">
        <v>96.329999999999899</v>
      </c>
      <c r="E81" s="274">
        <v>0.15</v>
      </c>
      <c r="F81" s="275">
        <v>0.1</v>
      </c>
      <c r="G81" s="2">
        <f t="shared" si="304"/>
        <v>14.449499999999984</v>
      </c>
      <c r="H81" s="269">
        <f t="shared" si="305"/>
        <v>110.77949999999989</v>
      </c>
      <c r="I81" s="9">
        <f t="shared" si="306"/>
        <v>23.263694999999974</v>
      </c>
      <c r="J81" s="268">
        <f t="shared" si="307"/>
        <v>134.04319499999986</v>
      </c>
      <c r="K81" s="270">
        <v>0</v>
      </c>
      <c r="M81" s="153">
        <f t="shared" si="308"/>
        <v>9.6329999999999902</v>
      </c>
      <c r="N81" s="269">
        <f t="shared" si="309"/>
        <v>105.96299999999989</v>
      </c>
      <c r="O81" s="9">
        <f t="shared" si="310"/>
        <v>22.252229999999976</v>
      </c>
      <c r="P81" s="268">
        <f t="shared" si="311"/>
        <v>128.21522999999988</v>
      </c>
    </row>
    <row r="82" spans="1:16" x14ac:dyDescent="0.3">
      <c r="A82" s="267" t="s">
        <v>1197</v>
      </c>
      <c r="B82" s="271" t="s">
        <v>1003</v>
      </c>
      <c r="C82" s="272" t="s">
        <v>277</v>
      </c>
      <c r="D82" s="273">
        <v>97.789999999999907</v>
      </c>
      <c r="E82" s="274">
        <v>0.15</v>
      </c>
      <c r="F82" s="275">
        <v>0.1</v>
      </c>
      <c r="G82" s="2">
        <f t="shared" ref="G82" si="312">D82*E82</f>
        <v>14.668499999999986</v>
      </c>
      <c r="H82" s="269">
        <f t="shared" ref="H82" si="313">G82+D82</f>
        <v>112.45849999999989</v>
      </c>
      <c r="I82" s="9">
        <f t="shared" ref="I82" si="314">H82*0.21</f>
        <v>23.616284999999976</v>
      </c>
      <c r="J82" s="268">
        <f t="shared" ref="J82" si="315">H82+I82</f>
        <v>136.07478499999985</v>
      </c>
      <c r="K82" s="270">
        <v>0</v>
      </c>
      <c r="M82" s="153">
        <f t="shared" ref="M82" si="316">D82*F82</f>
        <v>9.778999999999991</v>
      </c>
      <c r="N82" s="269">
        <f t="shared" ref="N82" si="317">D82+M82</f>
        <v>107.5689999999999</v>
      </c>
      <c r="O82" s="9">
        <f t="shared" ref="O82" si="318">N82*0.21</f>
        <v>22.58948999999998</v>
      </c>
      <c r="P82" s="268">
        <f t="shared" ref="P82" si="319">N82+O82</f>
        <v>130.15848999999989</v>
      </c>
    </row>
    <row r="83" spans="1:16" x14ac:dyDescent="0.3">
      <c r="A83" s="267" t="s">
        <v>1198</v>
      </c>
      <c r="B83" s="271" t="s">
        <v>1094</v>
      </c>
      <c r="C83" s="272" t="s">
        <v>277</v>
      </c>
      <c r="D83" s="273">
        <v>99.249999999999901</v>
      </c>
      <c r="E83" s="274">
        <v>0.15</v>
      </c>
      <c r="F83" s="275">
        <v>0.1</v>
      </c>
      <c r="G83" s="2">
        <f t="shared" ref="G83" si="320">D83*E83</f>
        <v>14.887499999999985</v>
      </c>
      <c r="H83" s="269">
        <f t="shared" ref="H83" si="321">G83+D83</f>
        <v>114.13749999999989</v>
      </c>
      <c r="I83" s="9">
        <f t="shared" ref="I83" si="322">H83*0.21</f>
        <v>23.968874999999976</v>
      </c>
      <c r="J83" s="268">
        <f t="shared" ref="J83" si="323">H83+I83</f>
        <v>138.10637499999987</v>
      </c>
      <c r="K83" s="270">
        <v>0</v>
      </c>
      <c r="M83" s="153">
        <f t="shared" ref="M83" si="324">D83*F83</f>
        <v>9.9249999999999901</v>
      </c>
      <c r="N83" s="269">
        <f t="shared" ref="N83" si="325">D83+M83</f>
        <v>109.1749999999999</v>
      </c>
      <c r="O83" s="9">
        <f t="shared" ref="O83" si="326">N83*0.21</f>
        <v>22.926749999999977</v>
      </c>
      <c r="P83" s="268">
        <f t="shared" ref="P83" si="327">N83+O83</f>
        <v>132.10174999999987</v>
      </c>
    </row>
    <row r="84" spans="1:16" x14ac:dyDescent="0.3">
      <c r="A84" s="267" t="s">
        <v>1199</v>
      </c>
      <c r="B84" s="271" t="s">
        <v>1095</v>
      </c>
      <c r="C84" s="272" t="s">
        <v>277</v>
      </c>
      <c r="D84" s="273">
        <v>100.71</v>
      </c>
      <c r="E84" s="274">
        <v>0.15</v>
      </c>
      <c r="F84" s="275">
        <v>0.1</v>
      </c>
      <c r="G84" s="2">
        <f t="shared" ref="G84" si="328">D84*E84</f>
        <v>15.106499999999999</v>
      </c>
      <c r="H84" s="269">
        <f t="shared" ref="H84" si="329">G84+D84</f>
        <v>115.81649999999999</v>
      </c>
      <c r="I84" s="9">
        <f t="shared" ref="I84" si="330">H84*0.21</f>
        <v>24.321464999999996</v>
      </c>
      <c r="J84" s="268">
        <f t="shared" ref="J84" si="331">H84+I84</f>
        <v>140.13796499999998</v>
      </c>
      <c r="K84" s="270">
        <v>0</v>
      </c>
      <c r="M84" s="153">
        <f t="shared" ref="M84" si="332">D84*F84</f>
        <v>10.071</v>
      </c>
      <c r="N84" s="269">
        <f t="shared" ref="N84" si="333">D84+M84</f>
        <v>110.78099999999999</v>
      </c>
      <c r="O84" s="9">
        <f t="shared" ref="O84" si="334">N84*0.21</f>
        <v>23.264009999999999</v>
      </c>
      <c r="P84" s="268">
        <f t="shared" ref="P84" si="335">N84+O84</f>
        <v>134.04500999999999</v>
      </c>
    </row>
    <row r="85" spans="1:16" x14ac:dyDescent="0.3">
      <c r="A85" s="267" t="s">
        <v>1200</v>
      </c>
      <c r="B85" s="271" t="s">
        <v>1096</v>
      </c>
      <c r="C85" s="272" t="s">
        <v>277</v>
      </c>
      <c r="D85" s="273">
        <v>102.17</v>
      </c>
      <c r="E85" s="274">
        <v>0.15</v>
      </c>
      <c r="F85" s="275">
        <v>0.1</v>
      </c>
      <c r="G85" s="2">
        <f t="shared" ref="G85" si="336">D85*E85</f>
        <v>15.3255</v>
      </c>
      <c r="H85" s="269">
        <f t="shared" ref="H85" si="337">G85+D85</f>
        <v>117.49550000000001</v>
      </c>
      <c r="I85" s="9">
        <f t="shared" ref="I85" si="338">H85*0.21</f>
        <v>24.674054999999999</v>
      </c>
      <c r="J85" s="268">
        <f t="shared" ref="J85" si="339">H85+I85</f>
        <v>142.169555</v>
      </c>
      <c r="K85" s="270">
        <v>0</v>
      </c>
      <c r="M85" s="153">
        <f t="shared" ref="M85" si="340">D85*F85</f>
        <v>10.217000000000001</v>
      </c>
      <c r="N85" s="269">
        <f t="shared" ref="N85" si="341">D85+M85</f>
        <v>112.387</v>
      </c>
      <c r="O85" s="9">
        <f t="shared" ref="O85" si="342">N85*0.21</f>
        <v>23.60127</v>
      </c>
      <c r="P85" s="268">
        <f t="shared" ref="P85" si="343">N85+O85</f>
        <v>135.98827</v>
      </c>
    </row>
    <row r="86" spans="1:16" x14ac:dyDescent="0.3">
      <c r="A86" s="267" t="s">
        <v>1201</v>
      </c>
      <c r="B86" s="271" t="s">
        <v>1202</v>
      </c>
      <c r="C86" s="272" t="s">
        <v>277</v>
      </c>
      <c r="D86" s="273">
        <v>103.63</v>
      </c>
      <c r="E86" s="274">
        <v>0.15</v>
      </c>
      <c r="F86" s="275">
        <v>0.1</v>
      </c>
      <c r="G86" s="2">
        <f t="shared" ref="G86" si="344">D86*E86</f>
        <v>15.544499999999999</v>
      </c>
      <c r="H86" s="269">
        <f t="shared" ref="H86" si="345">G86+D86</f>
        <v>119.17449999999999</v>
      </c>
      <c r="I86" s="9">
        <f t="shared" ref="I86" si="346">H86*0.21</f>
        <v>25.026644999999998</v>
      </c>
      <c r="J86" s="268">
        <f t="shared" ref="J86" si="347">H86+I86</f>
        <v>144.201145</v>
      </c>
      <c r="K86" s="270">
        <v>0</v>
      </c>
      <c r="M86" s="153">
        <f t="shared" ref="M86" si="348">D86*F86</f>
        <v>10.363</v>
      </c>
      <c r="N86" s="269">
        <f t="shared" ref="N86" si="349">D86+M86</f>
        <v>113.99299999999999</v>
      </c>
      <c r="O86" s="9">
        <f t="shared" ref="O86" si="350">N86*0.21</f>
        <v>23.938529999999997</v>
      </c>
      <c r="P86" s="268">
        <f t="shared" ref="P86" si="351">N86+O86</f>
        <v>137.93152999999998</v>
      </c>
    </row>
    <row r="87" spans="1:16" x14ac:dyDescent="0.3">
      <c r="A87" s="267" t="s">
        <v>1203</v>
      </c>
      <c r="B87" s="271" t="s">
        <v>1204</v>
      </c>
      <c r="C87" s="272" t="s">
        <v>277</v>
      </c>
      <c r="D87" s="273">
        <v>105.09</v>
      </c>
      <c r="E87" s="274">
        <v>0.15</v>
      </c>
      <c r="F87" s="275">
        <v>0.1</v>
      </c>
      <c r="G87" s="2">
        <f t="shared" ref="G87" si="352">D87*E87</f>
        <v>15.763500000000001</v>
      </c>
      <c r="H87" s="269">
        <f t="shared" ref="H87" si="353">G87+D87</f>
        <v>120.8535</v>
      </c>
      <c r="I87" s="9">
        <f t="shared" ref="I87" si="354">H87*0.21</f>
        <v>25.379234999999998</v>
      </c>
      <c r="J87" s="268">
        <f t="shared" ref="J87" si="355">H87+I87</f>
        <v>146.23273499999999</v>
      </c>
      <c r="K87" s="270">
        <v>0</v>
      </c>
      <c r="M87" s="153">
        <f t="shared" ref="M87" si="356">D87*F87</f>
        <v>10.509</v>
      </c>
      <c r="N87" s="269">
        <f t="shared" ref="N87" si="357">D87+M87</f>
        <v>115.599</v>
      </c>
      <c r="O87" s="9">
        <f t="shared" ref="O87" si="358">N87*0.21</f>
        <v>24.275790000000001</v>
      </c>
      <c r="P87" s="268">
        <f t="shared" ref="P87" si="359">N87+O87</f>
        <v>139.87479000000002</v>
      </c>
    </row>
    <row r="88" spans="1:16" x14ac:dyDescent="0.3">
      <c r="A88" s="267" t="s">
        <v>1230</v>
      </c>
      <c r="B88" s="271" t="s">
        <v>1231</v>
      </c>
      <c r="C88" s="272" t="s">
        <v>277</v>
      </c>
      <c r="D88" s="273">
        <v>106.55</v>
      </c>
      <c r="E88" s="274">
        <v>0.15</v>
      </c>
      <c r="F88" s="275">
        <v>0.1</v>
      </c>
      <c r="G88" s="2">
        <f t="shared" ref="G88" si="360">D88*E88</f>
        <v>15.982499999999998</v>
      </c>
      <c r="H88" s="269">
        <f t="shared" ref="H88" si="361">G88+D88</f>
        <v>122.5325</v>
      </c>
      <c r="I88" s="9">
        <f t="shared" ref="I88" si="362">H88*0.21</f>
        <v>25.731824999999997</v>
      </c>
      <c r="J88" s="268">
        <f t="shared" ref="J88" si="363">H88+I88</f>
        <v>148.26432499999999</v>
      </c>
      <c r="K88" s="270">
        <v>0</v>
      </c>
      <c r="M88" s="153">
        <f t="shared" ref="M88" si="364">D88*F88</f>
        <v>10.655000000000001</v>
      </c>
      <c r="N88" s="269">
        <f t="shared" ref="N88" si="365">D88+M88</f>
        <v>117.205</v>
      </c>
      <c r="O88" s="9">
        <f t="shared" ref="O88" si="366">N88*0.21</f>
        <v>24.613049999999998</v>
      </c>
      <c r="P88" s="268">
        <f t="shared" ref="P88" si="367">N88+O88</f>
        <v>141.81805</v>
      </c>
    </row>
    <row r="89" spans="1:16" x14ac:dyDescent="0.3">
      <c r="A89" s="267" t="s">
        <v>1257</v>
      </c>
      <c r="B89" s="271" t="s">
        <v>1258</v>
      </c>
      <c r="C89" s="272" t="s">
        <v>277</v>
      </c>
      <c r="D89" s="273">
        <v>108.01</v>
      </c>
      <c r="E89" s="274">
        <v>0.15</v>
      </c>
      <c r="F89" s="275">
        <v>0.1</v>
      </c>
      <c r="G89" s="2">
        <f t="shared" ref="G89" si="368">D89*E89</f>
        <v>16.201499999999999</v>
      </c>
      <c r="H89" s="269">
        <f t="shared" ref="H89" si="369">G89+D89</f>
        <v>124.2115</v>
      </c>
      <c r="I89" s="9">
        <f t="shared" ref="I89" si="370">H89*0.21</f>
        <v>26.084415</v>
      </c>
      <c r="J89" s="268">
        <f t="shared" ref="J89" si="371">H89+I89</f>
        <v>150.29591500000001</v>
      </c>
      <c r="K89" s="270">
        <v>0</v>
      </c>
      <c r="M89" s="153">
        <f t="shared" ref="M89" si="372">D89*F89</f>
        <v>10.801000000000002</v>
      </c>
      <c r="N89" s="269">
        <f t="shared" ref="N89" si="373">D89+M89</f>
        <v>118.81100000000001</v>
      </c>
      <c r="O89" s="9">
        <f t="shared" ref="O89" si="374">N89*0.21</f>
        <v>24.950310000000002</v>
      </c>
      <c r="P89" s="268">
        <f t="shared" ref="P89" si="375">N89+O89</f>
        <v>143.76131000000001</v>
      </c>
    </row>
    <row r="90" spans="1:16" x14ac:dyDescent="0.3">
      <c r="A90" s="267" t="s">
        <v>1261</v>
      </c>
      <c r="B90" s="271" t="s">
        <v>1262</v>
      </c>
      <c r="C90" s="272" t="s">
        <v>277</v>
      </c>
      <c r="D90" s="273">
        <v>109.47</v>
      </c>
      <c r="E90" s="274">
        <v>0.15</v>
      </c>
      <c r="F90" s="275">
        <v>0.1</v>
      </c>
      <c r="G90" s="2">
        <f t="shared" ref="G90:G91" si="376">D90*E90</f>
        <v>16.420500000000001</v>
      </c>
      <c r="H90" s="269">
        <f t="shared" ref="H90:H91" si="377">G90+D90</f>
        <v>125.8905</v>
      </c>
      <c r="I90" s="9">
        <f t="shared" ref="I90:I91" si="378">H90*0.21</f>
        <v>26.437004999999999</v>
      </c>
      <c r="J90" s="268">
        <f t="shared" ref="J90:J91" si="379">H90+I90</f>
        <v>152.327505</v>
      </c>
      <c r="K90" s="270">
        <v>0</v>
      </c>
      <c r="M90" s="153">
        <f t="shared" ref="M90:M91" si="380">D90*F90</f>
        <v>10.947000000000001</v>
      </c>
      <c r="N90" s="269">
        <f t="shared" ref="N90:N91" si="381">D90+M90</f>
        <v>120.417</v>
      </c>
      <c r="O90" s="9">
        <f t="shared" ref="O90:O91" si="382">N90*0.21</f>
        <v>25.287569999999999</v>
      </c>
      <c r="P90" s="268">
        <f t="shared" ref="P90:P91" si="383">N90+O90</f>
        <v>145.70456999999999</v>
      </c>
    </row>
    <row r="91" spans="1:16" x14ac:dyDescent="0.3">
      <c r="A91" s="267" t="s">
        <v>1273</v>
      </c>
      <c r="B91" s="358" t="s">
        <v>1274</v>
      </c>
      <c r="C91" s="272" t="s">
        <v>277</v>
      </c>
      <c r="D91" s="273">
        <v>110.93</v>
      </c>
      <c r="E91" s="274">
        <v>0.15</v>
      </c>
      <c r="F91" s="275">
        <v>0.1</v>
      </c>
      <c r="G91" s="2">
        <f t="shared" si="376"/>
        <v>16.639500000000002</v>
      </c>
      <c r="H91" s="269">
        <f t="shared" si="377"/>
        <v>127.56950000000001</v>
      </c>
      <c r="I91" s="9">
        <f t="shared" si="378"/>
        <v>26.789594999999998</v>
      </c>
      <c r="J91" s="268">
        <f t="shared" si="379"/>
        <v>154.359095</v>
      </c>
      <c r="K91" s="270">
        <v>0</v>
      </c>
      <c r="M91" s="153">
        <f t="shared" si="380"/>
        <v>11.093000000000002</v>
      </c>
      <c r="N91" s="269">
        <f t="shared" si="381"/>
        <v>122.02300000000001</v>
      </c>
      <c r="O91" s="9">
        <f t="shared" si="382"/>
        <v>25.624830000000003</v>
      </c>
      <c r="P91" s="268">
        <f t="shared" si="383"/>
        <v>147.64783</v>
      </c>
    </row>
    <row r="92" spans="1:16" x14ac:dyDescent="0.3">
      <c r="A92" s="267" t="s">
        <v>1275</v>
      </c>
      <c r="B92" s="358" t="s">
        <v>1276</v>
      </c>
      <c r="C92" s="272" t="s">
        <v>277</v>
      </c>
      <c r="D92" s="273">
        <v>112.39</v>
      </c>
      <c r="E92" s="274">
        <v>0.15</v>
      </c>
      <c r="F92" s="275">
        <v>0.1</v>
      </c>
      <c r="G92" s="2">
        <f t="shared" ref="G92" si="384">D92*E92</f>
        <v>16.858499999999999</v>
      </c>
      <c r="H92" s="269">
        <f t="shared" ref="H92" si="385">G92+D92</f>
        <v>129.24850000000001</v>
      </c>
      <c r="I92" s="9">
        <f t="shared" ref="I92" si="386">H92*0.21</f>
        <v>27.142185000000001</v>
      </c>
      <c r="J92" s="268">
        <f t="shared" ref="J92" si="387">H92+I92</f>
        <v>156.39068500000002</v>
      </c>
      <c r="K92" s="270">
        <f t="shared" ref="K92:K98" si="388">$K$91</f>
        <v>0</v>
      </c>
      <c r="M92" s="153">
        <f t="shared" ref="M92" si="389">D92*F92</f>
        <v>11.239000000000001</v>
      </c>
      <c r="N92" s="269">
        <f t="shared" ref="N92" si="390">D92+M92</f>
        <v>123.629</v>
      </c>
      <c r="O92" s="9">
        <f t="shared" ref="O92" si="391">N92*0.21</f>
        <v>25.96209</v>
      </c>
      <c r="P92" s="268">
        <f t="shared" ref="P92" si="392">N92+O92</f>
        <v>149.59109000000001</v>
      </c>
    </row>
    <row r="93" spans="1:16" x14ac:dyDescent="0.3">
      <c r="A93" s="267" t="s">
        <v>1377</v>
      </c>
      <c r="B93" s="358" t="s">
        <v>1378</v>
      </c>
      <c r="C93" s="272" t="s">
        <v>277</v>
      </c>
      <c r="D93" s="273">
        <v>113.85</v>
      </c>
      <c r="E93" s="274">
        <v>0.15</v>
      </c>
      <c r="F93" s="275">
        <v>0.1</v>
      </c>
      <c r="G93" s="2">
        <f t="shared" ref="G93" si="393">D93*E93</f>
        <v>17.077499999999997</v>
      </c>
      <c r="H93" s="269">
        <f t="shared" ref="H93" si="394">G93+D93</f>
        <v>130.92749999999998</v>
      </c>
      <c r="I93" s="9">
        <f t="shared" ref="I93" si="395">H93*0.21</f>
        <v>27.494774999999994</v>
      </c>
      <c r="J93" s="268">
        <f t="shared" ref="J93" si="396">H93+I93</f>
        <v>158.42227499999998</v>
      </c>
      <c r="K93" s="270">
        <f t="shared" si="388"/>
        <v>0</v>
      </c>
      <c r="M93" s="153">
        <f t="shared" ref="M93" si="397">D93*F93</f>
        <v>11.385</v>
      </c>
      <c r="N93" s="269">
        <f t="shared" ref="N93" si="398">D93+M93</f>
        <v>125.235</v>
      </c>
      <c r="O93" s="9">
        <f t="shared" ref="O93" si="399">N93*0.21</f>
        <v>26.29935</v>
      </c>
      <c r="P93" s="268">
        <f t="shared" ref="P93" si="400">N93+O93</f>
        <v>151.53434999999999</v>
      </c>
    </row>
    <row r="94" spans="1:16" x14ac:dyDescent="0.3">
      <c r="A94" s="267" t="s">
        <v>1379</v>
      </c>
      <c r="B94" s="358" t="s">
        <v>1381</v>
      </c>
      <c r="C94" s="272" t="s">
        <v>277</v>
      </c>
      <c r="D94" s="273">
        <v>115.31</v>
      </c>
      <c r="E94" s="274">
        <v>0.15</v>
      </c>
      <c r="F94" s="275">
        <v>0.1</v>
      </c>
      <c r="G94" s="2">
        <f t="shared" ref="G94" si="401">D94*E94</f>
        <v>17.296499999999998</v>
      </c>
      <c r="H94" s="269">
        <f t="shared" ref="H94" si="402">G94+D94</f>
        <v>132.60650000000001</v>
      </c>
      <c r="I94" s="9">
        <f t="shared" ref="I94" si="403">H94*0.21</f>
        <v>27.847365</v>
      </c>
      <c r="J94" s="268">
        <f t="shared" ref="J94" si="404">H94+I94</f>
        <v>160.45386500000001</v>
      </c>
      <c r="K94" s="270">
        <f t="shared" si="388"/>
        <v>0</v>
      </c>
      <c r="M94" s="153">
        <f t="shared" ref="M94" si="405">D94*F94</f>
        <v>11.531000000000001</v>
      </c>
      <c r="N94" s="269">
        <f t="shared" ref="N94" si="406">D94+M94</f>
        <v>126.84100000000001</v>
      </c>
      <c r="O94" s="9">
        <f t="shared" ref="O94" si="407">N94*0.21</f>
        <v>26.636610000000001</v>
      </c>
      <c r="P94" s="268">
        <f t="shared" ref="P94" si="408">N94+O94</f>
        <v>153.47761</v>
      </c>
    </row>
    <row r="95" spans="1:16" x14ac:dyDescent="0.3">
      <c r="A95" s="267" t="s">
        <v>1380</v>
      </c>
      <c r="B95" s="358" t="s">
        <v>1382</v>
      </c>
      <c r="C95" s="272" t="s">
        <v>277</v>
      </c>
      <c r="D95" s="273">
        <v>116.77</v>
      </c>
      <c r="E95" s="274">
        <v>0.15</v>
      </c>
      <c r="F95" s="275">
        <v>0.1</v>
      </c>
      <c r="G95" s="2">
        <f t="shared" ref="G95" si="409">D95*E95</f>
        <v>17.515499999999999</v>
      </c>
      <c r="H95" s="269">
        <f t="shared" ref="H95" si="410">G95+D95</f>
        <v>134.28549999999998</v>
      </c>
      <c r="I95" s="9">
        <f t="shared" ref="I95" si="411">H95*0.21</f>
        <v>28.199954999999996</v>
      </c>
      <c r="J95" s="268">
        <f t="shared" ref="J95" si="412">H95+I95</f>
        <v>162.48545499999997</v>
      </c>
      <c r="K95" s="270">
        <f t="shared" si="388"/>
        <v>0</v>
      </c>
      <c r="M95" s="153">
        <f t="shared" ref="M95" si="413">D95*F95</f>
        <v>11.677</v>
      </c>
      <c r="N95" s="269">
        <f t="shared" ref="N95" si="414">D95+M95</f>
        <v>128.447</v>
      </c>
      <c r="O95" s="9">
        <f t="shared" ref="O95" si="415">N95*0.21</f>
        <v>26.973869999999998</v>
      </c>
      <c r="P95" s="268">
        <f t="shared" ref="P95" si="416">N95+O95</f>
        <v>155.42087000000001</v>
      </c>
    </row>
    <row r="96" spans="1:16" x14ac:dyDescent="0.3">
      <c r="A96" s="267" t="s">
        <v>1383</v>
      </c>
      <c r="B96" s="358" t="s">
        <v>1384</v>
      </c>
      <c r="C96" s="272" t="s">
        <v>277</v>
      </c>
      <c r="D96" s="273">
        <v>118.23</v>
      </c>
      <c r="E96" s="274">
        <v>0.15</v>
      </c>
      <c r="F96" s="275">
        <v>0.1</v>
      </c>
      <c r="G96" s="2">
        <f t="shared" ref="G96" si="417">D96*E96</f>
        <v>17.734500000000001</v>
      </c>
      <c r="H96" s="269">
        <f t="shared" ref="H96" si="418">G96+D96</f>
        <v>135.96450000000002</v>
      </c>
      <c r="I96" s="9">
        <f t="shared" ref="I96" si="419">H96*0.21</f>
        <v>28.552545000000002</v>
      </c>
      <c r="J96" s="268">
        <f t="shared" ref="J96" si="420">H96+I96</f>
        <v>164.51704500000002</v>
      </c>
      <c r="K96" s="270">
        <f t="shared" si="388"/>
        <v>0</v>
      </c>
      <c r="M96" s="153">
        <f t="shared" ref="M96" si="421">D96*F96</f>
        <v>11.823</v>
      </c>
      <c r="N96" s="269">
        <f t="shared" ref="N96" si="422">D96+M96</f>
        <v>130.053</v>
      </c>
      <c r="O96" s="9">
        <f t="shared" ref="O96" si="423">N96*0.21</f>
        <v>27.311129999999999</v>
      </c>
      <c r="P96" s="268">
        <f t="shared" ref="P96" si="424">N96+O96</f>
        <v>157.36412999999999</v>
      </c>
    </row>
    <row r="97" spans="1:16" x14ac:dyDescent="0.3">
      <c r="A97" s="267" t="s">
        <v>1386</v>
      </c>
      <c r="B97" s="358" t="s">
        <v>1387</v>
      </c>
      <c r="C97" s="272" t="s">
        <v>277</v>
      </c>
      <c r="D97" s="273">
        <v>119.69</v>
      </c>
      <c r="E97" s="274">
        <v>0.15</v>
      </c>
      <c r="F97" s="275">
        <v>0.1</v>
      </c>
      <c r="G97" s="2">
        <f t="shared" ref="G97" si="425">D97*E97</f>
        <v>17.953499999999998</v>
      </c>
      <c r="H97" s="269">
        <f t="shared" ref="H97" si="426">G97+D97</f>
        <v>137.64349999999999</v>
      </c>
      <c r="I97" s="9">
        <f t="shared" ref="I97" si="427">H97*0.21</f>
        <v>28.905134999999998</v>
      </c>
      <c r="J97" s="268">
        <f t="shared" ref="J97" si="428">H97+I97</f>
        <v>166.54863499999999</v>
      </c>
      <c r="K97" s="270">
        <f t="shared" si="388"/>
        <v>0</v>
      </c>
      <c r="M97" s="153">
        <f t="shared" ref="M97" si="429">D97*F97</f>
        <v>11.969000000000001</v>
      </c>
      <c r="N97" s="269">
        <f t="shared" ref="N97" si="430">D97+M97</f>
        <v>131.65899999999999</v>
      </c>
      <c r="O97" s="9">
        <f t="shared" ref="O97" si="431">N97*0.21</f>
        <v>27.648389999999996</v>
      </c>
      <c r="P97" s="268">
        <f t="shared" ref="P97" si="432">N97+O97</f>
        <v>159.30739</v>
      </c>
    </row>
    <row r="98" spans="1:16" x14ac:dyDescent="0.3">
      <c r="A98" s="267" t="s">
        <v>1388</v>
      </c>
      <c r="B98" s="358" t="s">
        <v>1389</v>
      </c>
      <c r="C98" s="272" t="s">
        <v>277</v>
      </c>
      <c r="D98" s="273">
        <v>121.15</v>
      </c>
      <c r="E98" s="274">
        <v>0.15</v>
      </c>
      <c r="F98" s="275">
        <v>0.1</v>
      </c>
      <c r="G98" s="2">
        <f t="shared" ref="G98" si="433">D98*E98</f>
        <v>18.172499999999999</v>
      </c>
      <c r="H98" s="269">
        <f t="shared" ref="H98" si="434">G98+D98</f>
        <v>139.32249999999999</v>
      </c>
      <c r="I98" s="9">
        <f t="shared" ref="I98" si="435">H98*0.21</f>
        <v>29.257724999999997</v>
      </c>
      <c r="J98" s="268">
        <f t="shared" ref="J98" si="436">H98+I98</f>
        <v>168.58022499999998</v>
      </c>
      <c r="K98" s="270">
        <f t="shared" si="388"/>
        <v>0</v>
      </c>
      <c r="M98" s="153">
        <f t="shared" ref="M98" si="437">D98*F98</f>
        <v>12.115000000000002</v>
      </c>
      <c r="N98" s="269">
        <f t="shared" ref="N98" si="438">D98+M98</f>
        <v>133.26500000000001</v>
      </c>
      <c r="O98" s="9">
        <f t="shared" ref="O98" si="439">N98*0.21</f>
        <v>27.985650000000003</v>
      </c>
      <c r="P98" s="268">
        <f t="shared" ref="P98" si="440">N98+O98</f>
        <v>161.25065000000001</v>
      </c>
    </row>
    <row r="100" spans="1:16" x14ac:dyDescent="0.3">
      <c r="A100" s="325" t="s">
        <v>330</v>
      </c>
      <c r="B100" s="367" t="s">
        <v>940</v>
      </c>
      <c r="C100" s="326" t="s">
        <v>277</v>
      </c>
      <c r="D100" s="332">
        <v>8.6</v>
      </c>
      <c r="E100" s="327">
        <v>0.22</v>
      </c>
      <c r="F100" s="328">
        <v>0.33</v>
      </c>
      <c r="G100" s="2">
        <f t="shared" si="80"/>
        <v>1.8919999999999999</v>
      </c>
      <c r="H100" s="329">
        <f t="shared" si="81"/>
        <v>10.491999999999999</v>
      </c>
      <c r="I100" s="9">
        <f t="shared" si="82"/>
        <v>2.2033199999999997</v>
      </c>
      <c r="J100" s="330">
        <f t="shared" si="83"/>
        <v>12.695319999999999</v>
      </c>
      <c r="K100" s="331">
        <v>0</v>
      </c>
      <c r="M100" s="153">
        <f t="shared" si="84"/>
        <v>2.8380000000000001</v>
      </c>
      <c r="N100" s="329">
        <f t="shared" si="85"/>
        <v>11.437999999999999</v>
      </c>
      <c r="O100" s="9">
        <f t="shared" si="86"/>
        <v>2.4019799999999996</v>
      </c>
      <c r="P100" s="330">
        <f t="shared" si="87"/>
        <v>13.839979999999999</v>
      </c>
    </row>
    <row r="101" spans="1:16" x14ac:dyDescent="0.3">
      <c r="A101" s="325" t="s">
        <v>332</v>
      </c>
      <c r="B101" s="367" t="s">
        <v>936</v>
      </c>
      <c r="C101" s="326" t="s">
        <v>277</v>
      </c>
      <c r="D101" s="332">
        <v>9.6999999999999993</v>
      </c>
      <c r="E101" s="327">
        <v>0.22</v>
      </c>
      <c r="F101" s="328">
        <v>0.33</v>
      </c>
      <c r="G101" s="2">
        <f t="shared" si="80"/>
        <v>2.1339999999999999</v>
      </c>
      <c r="H101" s="329">
        <f t="shared" si="81"/>
        <v>11.834</v>
      </c>
      <c r="I101" s="9">
        <f t="shared" si="82"/>
        <v>2.4851399999999999</v>
      </c>
      <c r="J101" s="330">
        <f t="shared" si="83"/>
        <v>14.319139999999999</v>
      </c>
      <c r="K101" s="331">
        <v>0</v>
      </c>
      <c r="M101" s="153">
        <f t="shared" si="84"/>
        <v>3.2010000000000001</v>
      </c>
      <c r="N101" s="329">
        <f t="shared" si="85"/>
        <v>12.901</v>
      </c>
      <c r="O101" s="9">
        <f t="shared" si="86"/>
        <v>2.7092099999999997</v>
      </c>
      <c r="P101" s="330">
        <f t="shared" si="87"/>
        <v>15.610209999999999</v>
      </c>
    </row>
    <row r="102" spans="1:16" x14ac:dyDescent="0.3">
      <c r="A102" s="325" t="s">
        <v>485</v>
      </c>
      <c r="B102" s="367" t="s">
        <v>482</v>
      </c>
      <c r="C102" s="326" t="s">
        <v>277</v>
      </c>
      <c r="D102" s="332">
        <v>10.8</v>
      </c>
      <c r="E102" s="327">
        <v>0.22</v>
      </c>
      <c r="F102" s="328">
        <v>0.33</v>
      </c>
      <c r="G102" s="2">
        <f t="shared" si="80"/>
        <v>2.3760000000000003</v>
      </c>
      <c r="H102" s="329">
        <f t="shared" si="81"/>
        <v>13.176000000000002</v>
      </c>
      <c r="I102" s="9">
        <f t="shared" si="82"/>
        <v>2.7669600000000001</v>
      </c>
      <c r="J102" s="330">
        <f t="shared" si="83"/>
        <v>15.942960000000003</v>
      </c>
      <c r="K102" s="331">
        <v>0</v>
      </c>
      <c r="M102" s="153">
        <f t="shared" si="84"/>
        <v>3.5640000000000005</v>
      </c>
      <c r="N102" s="329">
        <f t="shared" si="85"/>
        <v>14.364000000000001</v>
      </c>
      <c r="O102" s="9">
        <f t="shared" si="86"/>
        <v>3.0164400000000002</v>
      </c>
      <c r="P102" s="330">
        <f t="shared" si="87"/>
        <v>17.38044</v>
      </c>
    </row>
    <row r="103" spans="1:16" x14ac:dyDescent="0.3">
      <c r="A103" s="325" t="s">
        <v>486</v>
      </c>
      <c r="B103" s="367" t="s">
        <v>935</v>
      </c>
      <c r="C103" s="326" t="s">
        <v>277</v>
      </c>
      <c r="D103" s="332">
        <v>11.9</v>
      </c>
      <c r="E103" s="327">
        <v>0.22</v>
      </c>
      <c r="F103" s="328">
        <v>0.33</v>
      </c>
      <c r="G103" s="2">
        <f t="shared" si="80"/>
        <v>2.6179999999999999</v>
      </c>
      <c r="H103" s="329">
        <f t="shared" si="81"/>
        <v>14.518000000000001</v>
      </c>
      <c r="I103" s="9">
        <f t="shared" si="82"/>
        <v>3.0487799999999998</v>
      </c>
      <c r="J103" s="330">
        <f t="shared" si="83"/>
        <v>17.566780000000001</v>
      </c>
      <c r="K103" s="331">
        <v>0</v>
      </c>
      <c r="M103" s="153">
        <f t="shared" si="84"/>
        <v>3.9270000000000005</v>
      </c>
      <c r="N103" s="329">
        <f t="shared" si="85"/>
        <v>15.827000000000002</v>
      </c>
      <c r="O103" s="9">
        <f t="shared" si="86"/>
        <v>3.3236700000000003</v>
      </c>
      <c r="P103" s="330">
        <f t="shared" si="87"/>
        <v>19.150670000000002</v>
      </c>
    </row>
    <row r="104" spans="1:16" x14ac:dyDescent="0.3">
      <c r="A104" s="325" t="s">
        <v>760</v>
      </c>
      <c r="B104" s="367" t="s">
        <v>761</v>
      </c>
      <c r="C104" s="326" t="s">
        <v>277</v>
      </c>
      <c r="D104" s="332">
        <v>13</v>
      </c>
      <c r="E104" s="327">
        <v>0.22</v>
      </c>
      <c r="F104" s="328">
        <v>0.33</v>
      </c>
      <c r="G104" s="2">
        <f t="shared" ref="G104" si="441">D104*E104</f>
        <v>2.86</v>
      </c>
      <c r="H104" s="329">
        <f t="shared" ref="H104" si="442">G104+D104</f>
        <v>15.86</v>
      </c>
      <c r="I104" s="9">
        <f t="shared" ref="I104" si="443">H104*0.21</f>
        <v>3.3305999999999996</v>
      </c>
      <c r="J104" s="330">
        <f t="shared" ref="J104" si="444">H104+I104</f>
        <v>19.1906</v>
      </c>
      <c r="K104" s="331">
        <v>0</v>
      </c>
      <c r="M104" s="153">
        <f t="shared" ref="M104" si="445">D104*F104</f>
        <v>4.29</v>
      </c>
      <c r="N104" s="329">
        <f t="shared" ref="N104" si="446">D104+M104</f>
        <v>17.29</v>
      </c>
      <c r="O104" s="9">
        <f t="shared" ref="O104" si="447">N104*0.21</f>
        <v>3.6308999999999996</v>
      </c>
      <c r="P104" s="330">
        <f t="shared" ref="P104" si="448">N104+O104</f>
        <v>20.9209</v>
      </c>
    </row>
    <row r="105" spans="1:16" x14ac:dyDescent="0.3">
      <c r="A105" s="325" t="s">
        <v>762</v>
      </c>
      <c r="B105" s="367" t="s">
        <v>763</v>
      </c>
      <c r="C105" s="326" t="s">
        <v>277</v>
      </c>
      <c r="D105" s="332">
        <v>14.1</v>
      </c>
      <c r="E105" s="327">
        <v>0.22</v>
      </c>
      <c r="F105" s="328">
        <v>0.33</v>
      </c>
      <c r="G105" s="2">
        <f t="shared" ref="G105" si="449">D105*E105</f>
        <v>3.1019999999999999</v>
      </c>
      <c r="H105" s="329">
        <f t="shared" ref="H105" si="450">G105+D105</f>
        <v>17.201999999999998</v>
      </c>
      <c r="I105" s="9">
        <f t="shared" ref="I105" si="451">H105*0.21</f>
        <v>3.6124199999999993</v>
      </c>
      <c r="J105" s="330">
        <f t="shared" ref="J105" si="452">H105+I105</f>
        <v>20.814419999999998</v>
      </c>
      <c r="K105" s="331">
        <v>0</v>
      </c>
      <c r="M105" s="153">
        <f t="shared" ref="M105" si="453">D105*F105</f>
        <v>4.6530000000000005</v>
      </c>
      <c r="N105" s="329">
        <f t="shared" ref="N105" si="454">D105+M105</f>
        <v>18.753</v>
      </c>
      <c r="O105" s="9">
        <f t="shared" ref="O105" si="455">N105*0.21</f>
        <v>3.9381299999999997</v>
      </c>
      <c r="P105" s="330">
        <f t="shared" ref="P105" si="456">N105+O105</f>
        <v>22.691130000000001</v>
      </c>
    </row>
    <row r="106" spans="1:16" x14ac:dyDescent="0.3">
      <c r="A106" s="325" t="s">
        <v>764</v>
      </c>
      <c r="B106" s="367" t="s">
        <v>765</v>
      </c>
      <c r="C106" s="326" t="s">
        <v>277</v>
      </c>
      <c r="D106" s="332">
        <v>15.2</v>
      </c>
      <c r="E106" s="327">
        <v>0.22</v>
      </c>
      <c r="F106" s="328">
        <v>0.33</v>
      </c>
      <c r="G106" s="2">
        <f t="shared" ref="G106" si="457">D106*E106</f>
        <v>3.3439999999999999</v>
      </c>
      <c r="H106" s="329">
        <f t="shared" ref="H106" si="458">G106+D106</f>
        <v>18.544</v>
      </c>
      <c r="I106" s="9">
        <f t="shared" ref="I106" si="459">H106*0.21</f>
        <v>3.8942399999999999</v>
      </c>
      <c r="J106" s="330">
        <f t="shared" ref="J106" si="460">H106+I106</f>
        <v>22.43824</v>
      </c>
      <c r="K106" s="331">
        <v>0</v>
      </c>
      <c r="M106" s="153">
        <f t="shared" ref="M106" si="461">D106*F106</f>
        <v>5.016</v>
      </c>
      <c r="N106" s="329">
        <f t="shared" ref="N106" si="462">D106+M106</f>
        <v>20.216000000000001</v>
      </c>
      <c r="O106" s="9">
        <f t="shared" ref="O106" si="463">N106*0.21</f>
        <v>4.2453599999999998</v>
      </c>
      <c r="P106" s="330">
        <f t="shared" ref="P106" si="464">N106+O106</f>
        <v>24.461359999999999</v>
      </c>
    </row>
    <row r="107" spans="1:16" x14ac:dyDescent="0.3">
      <c r="A107" s="325" t="s">
        <v>792</v>
      </c>
      <c r="B107" s="367" t="s">
        <v>793</v>
      </c>
      <c r="C107" s="326" t="s">
        <v>277</v>
      </c>
      <c r="D107" s="332">
        <v>16.3</v>
      </c>
      <c r="E107" s="327">
        <v>0.22</v>
      </c>
      <c r="F107" s="328">
        <v>0.33</v>
      </c>
      <c r="G107" s="2">
        <f t="shared" ref="G107" si="465">D107*E107</f>
        <v>3.5860000000000003</v>
      </c>
      <c r="H107" s="329">
        <f t="shared" ref="H107" si="466">G107+D107</f>
        <v>19.886000000000003</v>
      </c>
      <c r="I107" s="9">
        <f t="shared" ref="I107" si="467">H107*0.21</f>
        <v>4.1760600000000005</v>
      </c>
      <c r="J107" s="330">
        <f t="shared" ref="J107" si="468">H107+I107</f>
        <v>24.062060000000002</v>
      </c>
      <c r="K107" s="331">
        <v>0</v>
      </c>
      <c r="M107" s="153">
        <f t="shared" ref="M107" si="469">D107*F107</f>
        <v>5.3790000000000004</v>
      </c>
      <c r="N107" s="329">
        <f t="shared" ref="N107" si="470">D107+M107</f>
        <v>21.679000000000002</v>
      </c>
      <c r="O107" s="9">
        <f t="shared" ref="O107" si="471">N107*0.21</f>
        <v>4.5525900000000004</v>
      </c>
      <c r="P107" s="330">
        <f t="shared" ref="P107" si="472">N107+O107</f>
        <v>26.231590000000004</v>
      </c>
    </row>
    <row r="108" spans="1:16" x14ac:dyDescent="0.3">
      <c r="A108" s="325" t="s">
        <v>794</v>
      </c>
      <c r="B108" s="367" t="s">
        <v>795</v>
      </c>
      <c r="C108" s="326" t="s">
        <v>277</v>
      </c>
      <c r="D108" s="332">
        <v>17.399999999999999</v>
      </c>
      <c r="E108" s="327">
        <v>0.22</v>
      </c>
      <c r="F108" s="328">
        <v>0.33</v>
      </c>
      <c r="G108" s="2">
        <f t="shared" ref="G108:G109" si="473">D108*E108</f>
        <v>3.8279999999999998</v>
      </c>
      <c r="H108" s="329">
        <f t="shared" ref="H108:H109" si="474">G108+D108</f>
        <v>21.227999999999998</v>
      </c>
      <c r="I108" s="9">
        <f t="shared" ref="I108:I109" si="475">H108*0.21</f>
        <v>4.4578799999999994</v>
      </c>
      <c r="J108" s="330">
        <f t="shared" ref="J108:J109" si="476">H108+I108</f>
        <v>25.685879999999997</v>
      </c>
      <c r="K108" s="331">
        <v>0</v>
      </c>
      <c r="M108" s="153">
        <f t="shared" ref="M108:M109" si="477">D108*F108</f>
        <v>5.742</v>
      </c>
      <c r="N108" s="329">
        <f t="shared" ref="N108:N109" si="478">D108+M108</f>
        <v>23.141999999999999</v>
      </c>
      <c r="O108" s="9">
        <f t="shared" ref="O108:O109" si="479">N108*0.21</f>
        <v>4.85982</v>
      </c>
      <c r="P108" s="330">
        <f t="shared" ref="P108:P109" si="480">N108+O108</f>
        <v>28.001819999999999</v>
      </c>
    </row>
    <row r="109" spans="1:16" x14ac:dyDescent="0.3">
      <c r="A109" s="325" t="s">
        <v>905</v>
      </c>
      <c r="B109" s="367" t="s">
        <v>827</v>
      </c>
      <c r="C109" s="326" t="s">
        <v>277</v>
      </c>
      <c r="D109" s="332">
        <v>18.5</v>
      </c>
      <c r="E109" s="327">
        <v>0.22</v>
      </c>
      <c r="F109" s="328">
        <v>0.33</v>
      </c>
      <c r="G109" s="2">
        <f t="shared" si="473"/>
        <v>4.07</v>
      </c>
      <c r="H109" s="329">
        <f t="shared" si="474"/>
        <v>22.57</v>
      </c>
      <c r="I109" s="9">
        <f t="shared" si="475"/>
        <v>4.7397</v>
      </c>
      <c r="J109" s="330">
        <f t="shared" si="476"/>
        <v>27.309699999999999</v>
      </c>
      <c r="K109" s="331">
        <v>0</v>
      </c>
      <c r="M109" s="153">
        <f t="shared" si="477"/>
        <v>6.1050000000000004</v>
      </c>
      <c r="N109" s="329">
        <f t="shared" si="478"/>
        <v>24.605</v>
      </c>
      <c r="O109" s="9">
        <f t="shared" si="479"/>
        <v>5.1670499999999997</v>
      </c>
      <c r="P109" s="330">
        <f t="shared" si="480"/>
        <v>29.77205</v>
      </c>
    </row>
    <row r="110" spans="1:16" x14ac:dyDescent="0.3">
      <c r="A110" s="325" t="s">
        <v>907</v>
      </c>
      <c r="B110" s="367" t="s">
        <v>899</v>
      </c>
      <c r="C110" s="326" t="s">
        <v>277</v>
      </c>
      <c r="D110" s="332">
        <v>19.600000000000001</v>
      </c>
      <c r="E110" s="327">
        <v>0.22</v>
      </c>
      <c r="F110" s="328">
        <v>0.33</v>
      </c>
      <c r="G110" s="2">
        <f t="shared" ref="G110" si="481">D110*E110</f>
        <v>4.3120000000000003</v>
      </c>
      <c r="H110" s="329">
        <f t="shared" ref="H110" si="482">G110+D110</f>
        <v>23.912000000000003</v>
      </c>
      <c r="I110" s="9">
        <f t="shared" ref="I110" si="483">H110*0.21</f>
        <v>5.0215200000000006</v>
      </c>
      <c r="J110" s="330">
        <f t="shared" ref="J110" si="484">H110+I110</f>
        <v>28.933520000000001</v>
      </c>
      <c r="K110" s="331">
        <v>0</v>
      </c>
      <c r="M110" s="153">
        <f t="shared" ref="M110" si="485">D110*F110</f>
        <v>6.4680000000000009</v>
      </c>
      <c r="N110" s="329">
        <f t="shared" ref="N110" si="486">D110+M110</f>
        <v>26.068000000000001</v>
      </c>
      <c r="O110" s="9">
        <f t="shared" ref="O110" si="487">N110*0.21</f>
        <v>5.4742800000000003</v>
      </c>
      <c r="P110" s="330">
        <f t="shared" ref="P110" si="488">N110+O110</f>
        <v>31.542280000000002</v>
      </c>
    </row>
    <row r="111" spans="1:16" x14ac:dyDescent="0.3">
      <c r="A111" s="325" t="s">
        <v>909</v>
      </c>
      <c r="B111" s="367" t="s">
        <v>900</v>
      </c>
      <c r="C111" s="326" t="s">
        <v>277</v>
      </c>
      <c r="D111" s="332">
        <v>20.7</v>
      </c>
      <c r="E111" s="327">
        <v>0.22</v>
      </c>
      <c r="F111" s="328">
        <v>0.33</v>
      </c>
      <c r="G111" s="2">
        <f t="shared" ref="G111" si="489">D111*E111</f>
        <v>4.5540000000000003</v>
      </c>
      <c r="H111" s="329">
        <f t="shared" ref="H111" si="490">G111+D111</f>
        <v>25.253999999999998</v>
      </c>
      <c r="I111" s="9">
        <f t="shared" ref="I111" si="491">H111*0.21</f>
        <v>5.3033399999999995</v>
      </c>
      <c r="J111" s="330">
        <f t="shared" ref="J111" si="492">H111+I111</f>
        <v>30.557339999999996</v>
      </c>
      <c r="K111" s="331">
        <v>0</v>
      </c>
      <c r="M111" s="153">
        <f t="shared" ref="M111" si="493">D111*F111</f>
        <v>6.8310000000000004</v>
      </c>
      <c r="N111" s="329">
        <f t="shared" ref="N111" si="494">D111+M111</f>
        <v>27.530999999999999</v>
      </c>
      <c r="O111" s="9">
        <f t="shared" ref="O111" si="495">N111*0.21</f>
        <v>5.7815099999999999</v>
      </c>
      <c r="P111" s="330">
        <f t="shared" ref="P111" si="496">N111+O111</f>
        <v>33.312509999999996</v>
      </c>
    </row>
    <row r="112" spans="1:16" x14ac:dyDescent="0.3">
      <c r="A112" s="325" t="s">
        <v>911</v>
      </c>
      <c r="B112" s="367" t="s">
        <v>903</v>
      </c>
      <c r="C112" s="326" t="s">
        <v>277</v>
      </c>
      <c r="D112" s="332">
        <v>21.8</v>
      </c>
      <c r="E112" s="327">
        <v>0.22</v>
      </c>
      <c r="F112" s="328">
        <v>0.33</v>
      </c>
      <c r="G112" s="2">
        <f t="shared" ref="G112" si="497">D112*E112</f>
        <v>4.7960000000000003</v>
      </c>
      <c r="H112" s="329">
        <f t="shared" ref="H112" si="498">G112+D112</f>
        <v>26.596</v>
      </c>
      <c r="I112" s="9">
        <f t="shared" ref="I112" si="499">H112*0.21</f>
        <v>5.5851600000000001</v>
      </c>
      <c r="J112" s="330">
        <f t="shared" ref="J112" si="500">H112+I112</f>
        <v>32.181159999999998</v>
      </c>
      <c r="K112" s="331">
        <v>0</v>
      </c>
      <c r="M112" s="153">
        <f t="shared" ref="M112" si="501">D112*F112</f>
        <v>7.1940000000000008</v>
      </c>
      <c r="N112" s="329">
        <f t="shared" ref="N112" si="502">D112+M112</f>
        <v>28.994</v>
      </c>
      <c r="O112" s="9">
        <f t="shared" ref="O112" si="503">N112*0.21</f>
        <v>6.0887399999999996</v>
      </c>
      <c r="P112" s="330">
        <f t="shared" ref="P112" si="504">N112+O112</f>
        <v>35.082740000000001</v>
      </c>
    </row>
    <row r="113" spans="1:16" x14ac:dyDescent="0.3">
      <c r="A113" s="325" t="s">
        <v>914</v>
      </c>
      <c r="B113" s="367" t="s">
        <v>906</v>
      </c>
      <c r="C113" s="326" t="s">
        <v>277</v>
      </c>
      <c r="D113" s="332">
        <v>22.9</v>
      </c>
      <c r="E113" s="327">
        <v>0.22</v>
      </c>
      <c r="F113" s="328">
        <v>0.33</v>
      </c>
      <c r="G113" s="2">
        <f t="shared" ref="G113" si="505">D113*E113</f>
        <v>5.0379999999999994</v>
      </c>
      <c r="H113" s="329">
        <f t="shared" ref="H113" si="506">G113+D113</f>
        <v>27.937999999999999</v>
      </c>
      <c r="I113" s="9">
        <f t="shared" ref="I113" si="507">H113*0.21</f>
        <v>5.8669799999999999</v>
      </c>
      <c r="J113" s="330">
        <f t="shared" ref="J113" si="508">H113+I113</f>
        <v>33.80498</v>
      </c>
      <c r="K113" s="331">
        <v>0</v>
      </c>
      <c r="M113" s="153">
        <f t="shared" ref="M113" si="509">D113*F113</f>
        <v>7.5569999999999995</v>
      </c>
      <c r="N113" s="329">
        <f t="shared" ref="N113" si="510">D113+M113</f>
        <v>30.456999999999997</v>
      </c>
      <c r="O113" s="9">
        <f t="shared" ref="O113" si="511">N113*0.21</f>
        <v>6.3959699999999993</v>
      </c>
      <c r="P113" s="330">
        <f t="shared" ref="P113" si="512">N113+O113</f>
        <v>36.852969999999999</v>
      </c>
    </row>
    <row r="114" spans="1:16" x14ac:dyDescent="0.3">
      <c r="A114" s="325" t="s">
        <v>915</v>
      </c>
      <c r="B114" s="367" t="s">
        <v>908</v>
      </c>
      <c r="C114" s="326" t="s">
        <v>277</v>
      </c>
      <c r="D114" s="332">
        <v>24</v>
      </c>
      <c r="E114" s="327">
        <v>0.22</v>
      </c>
      <c r="F114" s="328">
        <v>0.33</v>
      </c>
      <c r="G114" s="2">
        <f t="shared" ref="G114" si="513">D114*E114</f>
        <v>5.28</v>
      </c>
      <c r="H114" s="329">
        <f t="shared" ref="H114" si="514">G114+D114</f>
        <v>29.28</v>
      </c>
      <c r="I114" s="9">
        <f t="shared" ref="I114" si="515">H114*0.21</f>
        <v>6.1487999999999996</v>
      </c>
      <c r="J114" s="330">
        <f t="shared" ref="J114" si="516">H114+I114</f>
        <v>35.428800000000003</v>
      </c>
      <c r="K114" s="331">
        <v>0</v>
      </c>
      <c r="M114" s="153">
        <f t="shared" ref="M114" si="517">D114*F114</f>
        <v>7.92</v>
      </c>
      <c r="N114" s="329">
        <f t="shared" ref="N114" si="518">D114+M114</f>
        <v>31.92</v>
      </c>
      <c r="O114" s="9">
        <f t="shared" ref="O114" si="519">N114*0.21</f>
        <v>6.7031999999999998</v>
      </c>
      <c r="P114" s="330">
        <f t="shared" ref="P114" si="520">N114+O114</f>
        <v>38.623200000000004</v>
      </c>
    </row>
    <row r="115" spans="1:16" x14ac:dyDescent="0.3">
      <c r="A115" s="325" t="s">
        <v>917</v>
      </c>
      <c r="B115" s="367" t="s">
        <v>910</v>
      </c>
      <c r="C115" s="326" t="s">
        <v>277</v>
      </c>
      <c r="D115" s="332">
        <v>25.1</v>
      </c>
      <c r="E115" s="327">
        <v>0.22</v>
      </c>
      <c r="F115" s="328">
        <v>0.33</v>
      </c>
      <c r="G115" s="2">
        <f t="shared" ref="G115" si="521">D115*E115</f>
        <v>5.5220000000000002</v>
      </c>
      <c r="H115" s="329">
        <f t="shared" ref="H115" si="522">G115+D115</f>
        <v>30.622</v>
      </c>
      <c r="I115" s="9">
        <f t="shared" ref="I115" si="523">H115*0.21</f>
        <v>6.4306199999999993</v>
      </c>
      <c r="J115" s="330">
        <f t="shared" ref="J115" si="524">H115+I115</f>
        <v>37.052619999999997</v>
      </c>
      <c r="K115" s="331">
        <v>0</v>
      </c>
      <c r="M115" s="153">
        <f t="shared" ref="M115" si="525">D115*F115</f>
        <v>8.2830000000000013</v>
      </c>
      <c r="N115" s="329">
        <f t="shared" ref="N115" si="526">D115+M115</f>
        <v>33.383000000000003</v>
      </c>
      <c r="O115" s="9">
        <f t="shared" ref="O115" si="527">N115*0.21</f>
        <v>7.0104300000000004</v>
      </c>
      <c r="P115" s="330">
        <f t="shared" ref="P115" si="528">N115+O115</f>
        <v>40.393430000000002</v>
      </c>
    </row>
    <row r="116" spans="1:16" x14ac:dyDescent="0.3">
      <c r="A116" s="325" t="s">
        <v>937</v>
      </c>
      <c r="B116" s="367" t="s">
        <v>913</v>
      </c>
      <c r="C116" s="326" t="s">
        <v>277</v>
      </c>
      <c r="D116" s="332">
        <v>26.2</v>
      </c>
      <c r="E116" s="327">
        <v>0.22</v>
      </c>
      <c r="F116" s="328">
        <v>0.33</v>
      </c>
      <c r="G116" s="2">
        <f t="shared" ref="G116" si="529">D116*E116</f>
        <v>5.7640000000000002</v>
      </c>
      <c r="H116" s="329">
        <f t="shared" ref="H116" si="530">G116+D116</f>
        <v>31.963999999999999</v>
      </c>
      <c r="I116" s="9">
        <f t="shared" ref="I116" si="531">H116*0.21</f>
        <v>6.7124399999999991</v>
      </c>
      <c r="J116" s="330">
        <f t="shared" ref="J116" si="532">H116+I116</f>
        <v>38.676439999999999</v>
      </c>
      <c r="K116" s="331">
        <v>0</v>
      </c>
      <c r="M116" s="153">
        <f t="shared" ref="M116" si="533">D116*F116</f>
        <v>8.6460000000000008</v>
      </c>
      <c r="N116" s="329">
        <f t="shared" ref="N116" si="534">D116+M116</f>
        <v>34.846000000000004</v>
      </c>
      <c r="O116" s="9">
        <f t="shared" ref="O116" si="535">N116*0.21</f>
        <v>7.3176600000000001</v>
      </c>
      <c r="P116" s="330">
        <f t="shared" ref="P116" si="536">N116+O116</f>
        <v>42.163660000000007</v>
      </c>
    </row>
    <row r="117" spans="1:16" x14ac:dyDescent="0.3">
      <c r="A117" s="325" t="s">
        <v>942</v>
      </c>
      <c r="B117" s="367" t="s">
        <v>912</v>
      </c>
      <c r="C117" s="326" t="s">
        <v>277</v>
      </c>
      <c r="D117" s="332">
        <v>27.3</v>
      </c>
      <c r="E117" s="327">
        <v>0.22</v>
      </c>
      <c r="F117" s="328">
        <v>0.33</v>
      </c>
      <c r="G117" s="2">
        <f t="shared" ref="G117" si="537">D117*E117</f>
        <v>6.0060000000000002</v>
      </c>
      <c r="H117" s="329">
        <f t="shared" ref="H117" si="538">G117+D117</f>
        <v>33.305999999999997</v>
      </c>
      <c r="I117" s="9">
        <f t="shared" ref="I117" si="539">H117*0.21</f>
        <v>6.9942599999999988</v>
      </c>
      <c r="J117" s="330">
        <f t="shared" ref="J117" si="540">H117+I117</f>
        <v>40.300259999999994</v>
      </c>
      <c r="K117" s="331">
        <v>0</v>
      </c>
      <c r="M117" s="153">
        <f t="shared" ref="M117" si="541">D117*F117</f>
        <v>9.0090000000000003</v>
      </c>
      <c r="N117" s="329">
        <f t="shared" ref="N117" si="542">D117+M117</f>
        <v>36.308999999999997</v>
      </c>
      <c r="O117" s="9">
        <f t="shared" ref="O117" si="543">N117*0.21</f>
        <v>7.6248899999999988</v>
      </c>
      <c r="P117" s="330">
        <f t="shared" ref="P117" si="544">N117+O117</f>
        <v>43.933889999999998</v>
      </c>
    </row>
    <row r="118" spans="1:16" x14ac:dyDescent="0.3">
      <c r="A118" s="325" t="s">
        <v>944</v>
      </c>
      <c r="B118" s="367" t="s">
        <v>916</v>
      </c>
      <c r="C118" s="326" t="s">
        <v>277</v>
      </c>
      <c r="D118" s="332">
        <v>28.4</v>
      </c>
      <c r="E118" s="327">
        <v>0.22</v>
      </c>
      <c r="F118" s="328">
        <v>0.33</v>
      </c>
      <c r="G118" s="2">
        <f t="shared" ref="G118" si="545">D118*E118</f>
        <v>6.2479999999999993</v>
      </c>
      <c r="H118" s="329">
        <f t="shared" ref="H118" si="546">G118+D118</f>
        <v>34.647999999999996</v>
      </c>
      <c r="I118" s="9">
        <f t="shared" ref="I118" si="547">H118*0.21</f>
        <v>7.2760799999999985</v>
      </c>
      <c r="J118" s="330">
        <f t="shared" ref="J118" si="548">H118+I118</f>
        <v>41.924079999999996</v>
      </c>
      <c r="K118" s="331">
        <v>0</v>
      </c>
      <c r="M118" s="153">
        <f t="shared" ref="M118" si="549">D118*F118</f>
        <v>9.3719999999999999</v>
      </c>
      <c r="N118" s="329">
        <f t="shared" ref="N118" si="550">D118+M118</f>
        <v>37.771999999999998</v>
      </c>
      <c r="O118" s="9">
        <f t="shared" ref="O118" si="551">N118*0.21</f>
        <v>7.9321199999999994</v>
      </c>
      <c r="P118" s="330">
        <f t="shared" ref="P118" si="552">N118+O118</f>
        <v>45.704119999999996</v>
      </c>
    </row>
    <row r="119" spans="1:16" x14ac:dyDescent="0.3">
      <c r="A119" s="325" t="s">
        <v>945</v>
      </c>
      <c r="B119" s="367" t="s">
        <v>918</v>
      </c>
      <c r="C119" s="326" t="s">
        <v>277</v>
      </c>
      <c r="D119" s="332">
        <v>29.5</v>
      </c>
      <c r="E119" s="327">
        <v>0.22</v>
      </c>
      <c r="F119" s="328">
        <v>0.33</v>
      </c>
      <c r="G119" s="2">
        <f t="shared" ref="G119" si="553">D119*E119</f>
        <v>6.49</v>
      </c>
      <c r="H119" s="329">
        <f t="shared" ref="H119" si="554">G119+D119</f>
        <v>35.99</v>
      </c>
      <c r="I119" s="9">
        <f t="shared" ref="I119" si="555">H119*0.21</f>
        <v>7.5579000000000001</v>
      </c>
      <c r="J119" s="330">
        <f t="shared" ref="J119" si="556">H119+I119</f>
        <v>43.547899999999998</v>
      </c>
      <c r="K119" s="331">
        <v>0</v>
      </c>
      <c r="M119" s="153">
        <f t="shared" ref="M119" si="557">D119*F119</f>
        <v>9.7350000000000012</v>
      </c>
      <c r="N119" s="329">
        <f t="shared" ref="N119" si="558">D119+M119</f>
        <v>39.234999999999999</v>
      </c>
      <c r="O119" s="9">
        <f t="shared" ref="O119" si="559">N119*0.21</f>
        <v>8.23935</v>
      </c>
      <c r="P119" s="330">
        <f t="shared" ref="P119" si="560">N119+O119</f>
        <v>47.474350000000001</v>
      </c>
    </row>
    <row r="120" spans="1:16" x14ac:dyDescent="0.3">
      <c r="A120" s="325" t="s">
        <v>947</v>
      </c>
      <c r="B120" s="367" t="s">
        <v>938</v>
      </c>
      <c r="C120" s="326" t="s">
        <v>277</v>
      </c>
      <c r="D120" s="332">
        <v>30.6</v>
      </c>
      <c r="E120" s="327">
        <v>0.22</v>
      </c>
      <c r="F120" s="328">
        <v>0.33</v>
      </c>
      <c r="G120" s="2">
        <f t="shared" ref="G120" si="561">D120*E120</f>
        <v>6.7320000000000002</v>
      </c>
      <c r="H120" s="329">
        <f t="shared" ref="H120" si="562">G120+D120</f>
        <v>37.332000000000001</v>
      </c>
      <c r="I120" s="9">
        <f t="shared" ref="I120" si="563">H120*0.21</f>
        <v>7.8397199999999998</v>
      </c>
      <c r="J120" s="330">
        <f t="shared" ref="J120" si="564">H120+I120</f>
        <v>45.171720000000001</v>
      </c>
      <c r="K120" s="331">
        <v>0</v>
      </c>
      <c r="M120" s="153">
        <f t="shared" ref="M120" si="565">D120*F120</f>
        <v>10.098000000000001</v>
      </c>
      <c r="N120" s="329">
        <f t="shared" ref="N120" si="566">D120+M120</f>
        <v>40.698</v>
      </c>
      <c r="O120" s="9">
        <f t="shared" ref="O120" si="567">N120*0.21</f>
        <v>8.5465800000000005</v>
      </c>
      <c r="P120" s="330">
        <f t="shared" ref="P120" si="568">N120+O120</f>
        <v>49.244579999999999</v>
      </c>
    </row>
    <row r="121" spans="1:16" x14ac:dyDescent="0.3">
      <c r="A121" s="325" t="s">
        <v>949</v>
      </c>
      <c r="B121" s="367" t="s">
        <v>943</v>
      </c>
      <c r="C121" s="326" t="s">
        <v>277</v>
      </c>
      <c r="D121" s="332">
        <v>31.7</v>
      </c>
      <c r="E121" s="327">
        <v>0.22</v>
      </c>
      <c r="F121" s="328">
        <v>0.33</v>
      </c>
      <c r="G121" s="2">
        <f t="shared" ref="G121" si="569">D121*E121</f>
        <v>6.9740000000000002</v>
      </c>
      <c r="H121" s="329">
        <f t="shared" ref="H121" si="570">G121+D121</f>
        <v>38.673999999999999</v>
      </c>
      <c r="I121" s="9">
        <f t="shared" ref="I121" si="571">H121*0.21</f>
        <v>8.1215399999999995</v>
      </c>
      <c r="J121" s="330">
        <f t="shared" ref="J121" si="572">H121+I121</f>
        <v>46.795540000000003</v>
      </c>
      <c r="K121" s="331">
        <v>0</v>
      </c>
      <c r="M121" s="153">
        <f t="shared" ref="M121" si="573">D121*F121</f>
        <v>10.461</v>
      </c>
      <c r="N121" s="329">
        <f t="shared" ref="N121" si="574">D121+M121</f>
        <v>42.161000000000001</v>
      </c>
      <c r="O121" s="9">
        <f t="shared" ref="O121" si="575">N121*0.21</f>
        <v>8.8538099999999993</v>
      </c>
      <c r="P121" s="330">
        <f t="shared" ref="P121" si="576">N121+O121</f>
        <v>51.014809999999997</v>
      </c>
    </row>
    <row r="122" spans="1:16" x14ac:dyDescent="0.3">
      <c r="A122" s="325" t="s">
        <v>951</v>
      </c>
      <c r="B122" s="367" t="s">
        <v>1153</v>
      </c>
      <c r="C122" s="326" t="s">
        <v>277</v>
      </c>
      <c r="D122" s="332">
        <v>32.799999999999997</v>
      </c>
      <c r="E122" s="327">
        <v>0.22</v>
      </c>
      <c r="F122" s="328">
        <v>0.33</v>
      </c>
      <c r="G122" s="2">
        <f t="shared" ref="G122" si="577">D122*E122</f>
        <v>7.2159999999999993</v>
      </c>
      <c r="H122" s="329">
        <f t="shared" ref="H122" si="578">G122+D122</f>
        <v>40.015999999999998</v>
      </c>
      <c r="I122" s="9">
        <f t="shared" ref="I122" si="579">H122*0.21</f>
        <v>8.4033599999999993</v>
      </c>
      <c r="J122" s="330">
        <f t="shared" ref="J122" si="580">H122+I122</f>
        <v>48.419359999999998</v>
      </c>
      <c r="K122" s="331">
        <v>0</v>
      </c>
      <c r="M122" s="153">
        <f t="shared" ref="M122" si="581">D122*F122</f>
        <v>10.824</v>
      </c>
      <c r="N122" s="329">
        <f t="shared" ref="N122" si="582">D122+M122</f>
        <v>43.623999999999995</v>
      </c>
      <c r="O122" s="9">
        <f t="shared" ref="O122" si="583">N122*0.21</f>
        <v>9.1610399999999981</v>
      </c>
      <c r="P122" s="330">
        <f t="shared" ref="P122" si="584">N122+O122</f>
        <v>52.785039999999995</v>
      </c>
    </row>
    <row r="123" spans="1:16" x14ac:dyDescent="0.3">
      <c r="A123" s="325" t="s">
        <v>1154</v>
      </c>
      <c r="B123" s="367" t="s">
        <v>946</v>
      </c>
      <c r="C123" s="326" t="s">
        <v>277</v>
      </c>
      <c r="D123" s="332">
        <v>33.9</v>
      </c>
      <c r="E123" s="327">
        <v>0.22</v>
      </c>
      <c r="F123" s="328">
        <v>0.33</v>
      </c>
      <c r="G123" s="2">
        <f t="shared" ref="G123" si="585">D123*E123</f>
        <v>7.4579999999999993</v>
      </c>
      <c r="H123" s="329">
        <f t="shared" ref="H123" si="586">G123+D123</f>
        <v>41.357999999999997</v>
      </c>
      <c r="I123" s="9">
        <f t="shared" ref="I123" si="587">H123*0.21</f>
        <v>8.685179999999999</v>
      </c>
      <c r="J123" s="330">
        <f t="shared" ref="J123" si="588">H123+I123</f>
        <v>50.043179999999992</v>
      </c>
      <c r="K123" s="331">
        <v>0</v>
      </c>
      <c r="M123" s="153">
        <f t="shared" ref="M123" si="589">D123*F123</f>
        <v>11.186999999999999</v>
      </c>
      <c r="N123" s="329">
        <f t="shared" ref="N123" si="590">D123+M123</f>
        <v>45.086999999999996</v>
      </c>
      <c r="O123" s="9">
        <f t="shared" ref="O123" si="591">N123*0.21</f>
        <v>9.4682699999999986</v>
      </c>
      <c r="P123" s="330">
        <f t="shared" ref="P123" si="592">N123+O123</f>
        <v>54.555269999999993</v>
      </c>
    </row>
    <row r="124" spans="1:16" x14ac:dyDescent="0.3">
      <c r="A124" s="325" t="s">
        <v>1156</v>
      </c>
      <c r="B124" s="367" t="s">
        <v>948</v>
      </c>
      <c r="C124" s="326" t="s">
        <v>277</v>
      </c>
      <c r="D124" s="332">
        <v>35</v>
      </c>
      <c r="E124" s="327">
        <v>0.22</v>
      </c>
      <c r="F124" s="328">
        <v>0.33</v>
      </c>
      <c r="G124" s="2">
        <f t="shared" ref="G124" si="593">D124*E124</f>
        <v>7.7</v>
      </c>
      <c r="H124" s="329">
        <f t="shared" ref="H124" si="594">G124+D124</f>
        <v>42.7</v>
      </c>
      <c r="I124" s="9">
        <f t="shared" ref="I124" si="595">H124*0.21</f>
        <v>8.9670000000000005</v>
      </c>
      <c r="J124" s="330">
        <f t="shared" ref="J124" si="596">H124+I124</f>
        <v>51.667000000000002</v>
      </c>
      <c r="K124" s="331">
        <v>0</v>
      </c>
      <c r="M124" s="153">
        <f t="shared" ref="M124" si="597">D124*F124</f>
        <v>11.55</v>
      </c>
      <c r="N124" s="329">
        <f t="shared" ref="N124" si="598">D124+M124</f>
        <v>46.55</v>
      </c>
      <c r="O124" s="9">
        <f t="shared" ref="O124" si="599">N124*0.21</f>
        <v>9.7754999999999992</v>
      </c>
      <c r="P124" s="330">
        <f t="shared" ref="P124" si="600">N124+O124</f>
        <v>56.325499999999998</v>
      </c>
    </row>
    <row r="125" spans="1:16" x14ac:dyDescent="0.3">
      <c r="A125" s="325" t="s">
        <v>1259</v>
      </c>
      <c r="B125" s="367" t="s">
        <v>950</v>
      </c>
      <c r="C125" s="326" t="s">
        <v>277</v>
      </c>
      <c r="D125" s="332">
        <v>36.1</v>
      </c>
      <c r="E125" s="327">
        <v>0.22</v>
      </c>
      <c r="F125" s="328">
        <v>0.33</v>
      </c>
      <c r="G125" s="2">
        <f t="shared" ref="G125" si="601">D125*E125</f>
        <v>7.9420000000000002</v>
      </c>
      <c r="H125" s="329">
        <f t="shared" ref="H125" si="602">G125+D125</f>
        <v>44.042000000000002</v>
      </c>
      <c r="I125" s="9">
        <f t="shared" ref="I125" si="603">H125*0.21</f>
        <v>9.2488200000000003</v>
      </c>
      <c r="J125" s="330">
        <f t="shared" ref="J125" si="604">H125+I125</f>
        <v>53.290820000000004</v>
      </c>
      <c r="K125" s="331">
        <v>0</v>
      </c>
      <c r="M125" s="153">
        <f t="shared" ref="M125" si="605">D125*F125</f>
        <v>11.913</v>
      </c>
      <c r="N125" s="329">
        <f t="shared" ref="N125" si="606">D125+M125</f>
        <v>48.013000000000005</v>
      </c>
      <c r="O125" s="9">
        <f t="shared" ref="O125" si="607">N125*0.21</f>
        <v>10.082730000000002</v>
      </c>
      <c r="P125" s="330">
        <f t="shared" ref="P125" si="608">N125+O125</f>
        <v>58.095730000000003</v>
      </c>
    </row>
    <row r="126" spans="1:16" x14ac:dyDescent="0.3">
      <c r="A126" s="325" t="s">
        <v>1299</v>
      </c>
      <c r="B126" s="367" t="s">
        <v>952</v>
      </c>
      <c r="C126" s="326" t="s">
        <v>277</v>
      </c>
      <c r="D126" s="332">
        <v>37.200000000000003</v>
      </c>
      <c r="E126" s="327">
        <v>0.22</v>
      </c>
      <c r="F126" s="328">
        <v>0.33</v>
      </c>
      <c r="G126" s="2">
        <f t="shared" ref="G126" si="609">D126*E126</f>
        <v>8.1840000000000011</v>
      </c>
      <c r="H126" s="329">
        <f t="shared" ref="H126" si="610">G126+D126</f>
        <v>45.384</v>
      </c>
      <c r="I126" s="9">
        <f t="shared" ref="I126" si="611">H126*0.21</f>
        <v>9.53064</v>
      </c>
      <c r="J126" s="330">
        <f t="shared" ref="J126" si="612">H126+I126</f>
        <v>54.914639999999999</v>
      </c>
      <c r="K126" s="331">
        <v>0</v>
      </c>
      <c r="M126" s="153">
        <f t="shared" ref="M126" si="613">D126*F126</f>
        <v>12.276000000000002</v>
      </c>
      <c r="N126" s="329">
        <f t="shared" ref="N126" si="614">D126+M126</f>
        <v>49.476000000000006</v>
      </c>
      <c r="O126" s="9">
        <f t="shared" ref="O126" si="615">N126*0.21</f>
        <v>10.38996</v>
      </c>
      <c r="P126" s="330">
        <f t="shared" ref="P126" si="616">N126+O126</f>
        <v>59.865960000000008</v>
      </c>
    </row>
    <row r="127" spans="1:16" x14ac:dyDescent="0.3">
      <c r="A127" s="325" t="s">
        <v>1300</v>
      </c>
      <c r="B127" s="367" t="s">
        <v>1155</v>
      </c>
      <c r="C127" s="326" t="s">
        <v>277</v>
      </c>
      <c r="D127" s="332">
        <v>38.299999999999997</v>
      </c>
      <c r="E127" s="327">
        <v>0.22</v>
      </c>
      <c r="F127" s="328">
        <v>0.33</v>
      </c>
      <c r="G127" s="2">
        <f t="shared" ref="G127" si="617">D127*E127</f>
        <v>8.4260000000000002</v>
      </c>
      <c r="H127" s="329">
        <f t="shared" ref="H127" si="618">G127+D127</f>
        <v>46.725999999999999</v>
      </c>
      <c r="I127" s="9">
        <f t="shared" ref="I127" si="619">H127*0.21</f>
        <v>9.8124599999999997</v>
      </c>
      <c r="J127" s="330">
        <f t="shared" ref="J127" si="620">H127+I127</f>
        <v>56.538460000000001</v>
      </c>
      <c r="K127" s="331">
        <v>0</v>
      </c>
      <c r="M127" s="153">
        <f t="shared" ref="M127" si="621">D127*F127</f>
        <v>12.638999999999999</v>
      </c>
      <c r="N127" s="329">
        <f t="shared" ref="N127" si="622">D127+M127</f>
        <v>50.938999999999993</v>
      </c>
      <c r="O127" s="9">
        <f t="shared" ref="O127" si="623">N127*0.21</f>
        <v>10.697189999999997</v>
      </c>
      <c r="P127" s="330">
        <f t="shared" ref="P127" si="624">N127+O127</f>
        <v>61.636189999999992</v>
      </c>
    </row>
    <row r="128" spans="1:16" x14ac:dyDescent="0.3">
      <c r="A128" s="325" t="s">
        <v>1301</v>
      </c>
      <c r="B128" s="367" t="s">
        <v>1157</v>
      </c>
      <c r="C128" s="326" t="s">
        <v>277</v>
      </c>
      <c r="D128" s="332">
        <v>39.4</v>
      </c>
      <c r="E128" s="327">
        <v>0.22</v>
      </c>
      <c r="F128" s="328">
        <v>0.33</v>
      </c>
      <c r="G128" s="2">
        <f t="shared" ref="G128" si="625">D128*E128</f>
        <v>8.6679999999999993</v>
      </c>
      <c r="H128" s="329">
        <f t="shared" ref="H128" si="626">G128+D128</f>
        <v>48.067999999999998</v>
      </c>
      <c r="I128" s="9">
        <f t="shared" ref="I128" si="627">H128*0.21</f>
        <v>10.094279999999999</v>
      </c>
      <c r="J128" s="330">
        <f t="shared" ref="J128" si="628">H128+I128</f>
        <v>58.162279999999996</v>
      </c>
      <c r="K128" s="331">
        <v>0</v>
      </c>
      <c r="M128" s="153">
        <f t="shared" ref="M128" si="629">D128*F128</f>
        <v>13.002000000000001</v>
      </c>
      <c r="N128" s="329">
        <f t="shared" ref="N128" si="630">D128+M128</f>
        <v>52.402000000000001</v>
      </c>
      <c r="O128" s="9">
        <f t="shared" ref="O128" si="631">N128*0.21</f>
        <v>11.00442</v>
      </c>
      <c r="P128" s="330">
        <f t="shared" ref="P128" si="632">N128+O128</f>
        <v>63.406419999999997</v>
      </c>
    </row>
    <row r="129" spans="1:16" x14ac:dyDescent="0.3">
      <c r="A129" s="325" t="s">
        <v>1302</v>
      </c>
      <c r="B129" s="367" t="s">
        <v>1260</v>
      </c>
      <c r="C129" s="326" t="s">
        <v>277</v>
      </c>
      <c r="D129" s="332">
        <v>40.5</v>
      </c>
      <c r="E129" s="327">
        <v>0.22</v>
      </c>
      <c r="F129" s="328">
        <v>0.33</v>
      </c>
      <c r="G129" s="2">
        <f t="shared" ref="G129" si="633">D129*E129</f>
        <v>8.91</v>
      </c>
      <c r="H129" s="329">
        <f t="shared" ref="H129" si="634">G129+D129</f>
        <v>49.41</v>
      </c>
      <c r="I129" s="9">
        <f t="shared" ref="I129" si="635">H129*0.21</f>
        <v>10.376099999999999</v>
      </c>
      <c r="J129" s="330">
        <f t="shared" ref="J129" si="636">H129+I129</f>
        <v>59.786099999999998</v>
      </c>
      <c r="K129" s="331">
        <v>0</v>
      </c>
      <c r="M129" s="153">
        <f t="shared" ref="M129" si="637">D129*F129</f>
        <v>13.365</v>
      </c>
      <c r="N129" s="329">
        <f t="shared" ref="N129" si="638">D129+M129</f>
        <v>53.865000000000002</v>
      </c>
      <c r="O129" s="9">
        <f t="shared" ref="O129" si="639">N129*0.21</f>
        <v>11.31165</v>
      </c>
      <c r="P129" s="330">
        <f t="shared" ref="P129" si="640">N129+O129</f>
        <v>65.176649999999995</v>
      </c>
    </row>
    <row r="131" spans="1:16" x14ac:dyDescent="0.3">
      <c r="A131" s="369" t="s">
        <v>786</v>
      </c>
      <c r="B131" s="370" t="s">
        <v>822</v>
      </c>
      <c r="C131" s="371" t="s">
        <v>277</v>
      </c>
      <c r="D131" s="372">
        <v>2.4500000000000002</v>
      </c>
      <c r="E131" s="373">
        <v>0.2</v>
      </c>
      <c r="F131" s="374">
        <v>0.1</v>
      </c>
      <c r="G131" s="2">
        <f t="shared" ref="G131" si="641">D131*E131</f>
        <v>0.49000000000000005</v>
      </c>
      <c r="H131" s="375">
        <f t="shared" ref="H131" si="642">G131+D131</f>
        <v>2.9400000000000004</v>
      </c>
      <c r="I131" s="9">
        <f t="shared" ref="I131" si="643">H131*0.21</f>
        <v>0.61740000000000006</v>
      </c>
      <c r="J131" s="376">
        <f t="shared" ref="J131" si="644">H131+I131</f>
        <v>3.5574000000000003</v>
      </c>
      <c r="K131" s="377">
        <v>0</v>
      </c>
      <c r="M131" s="153">
        <f t="shared" ref="M131" si="645">D131*F131</f>
        <v>0.24500000000000002</v>
      </c>
      <c r="N131" s="375">
        <f t="shared" ref="N131" si="646">D131+M131</f>
        <v>2.6950000000000003</v>
      </c>
      <c r="O131" s="9">
        <f t="shared" ref="O131" si="647">N131*0.21</f>
        <v>0.56595000000000006</v>
      </c>
      <c r="P131" s="376">
        <f t="shared" ref="P131" si="648">N131+O131</f>
        <v>3.2609500000000002</v>
      </c>
    </row>
    <row r="132" spans="1:16" x14ac:dyDescent="0.3">
      <c r="A132" s="369" t="s">
        <v>787</v>
      </c>
      <c r="B132" s="370" t="s">
        <v>821</v>
      </c>
      <c r="C132" s="371" t="s">
        <v>277</v>
      </c>
      <c r="D132" s="372">
        <v>2.65</v>
      </c>
      <c r="E132" s="373">
        <v>0.2</v>
      </c>
      <c r="F132" s="374">
        <v>0.1</v>
      </c>
      <c r="G132" s="2">
        <f t="shared" ref="G132" si="649">D132*E132</f>
        <v>0.53</v>
      </c>
      <c r="H132" s="375">
        <f t="shared" ref="H132" si="650">G132+D132</f>
        <v>3.1799999999999997</v>
      </c>
      <c r="I132" s="9">
        <f t="shared" ref="I132" si="651">H132*0.21</f>
        <v>0.66779999999999995</v>
      </c>
      <c r="J132" s="376">
        <f t="shared" ref="J132" si="652">H132+I132</f>
        <v>3.8477999999999994</v>
      </c>
      <c r="K132" s="377">
        <v>0</v>
      </c>
      <c r="M132" s="153">
        <f t="shared" ref="M132" si="653">D132*F132</f>
        <v>0.26500000000000001</v>
      </c>
      <c r="N132" s="375">
        <f t="shared" ref="N132" si="654">D132+M132</f>
        <v>2.915</v>
      </c>
      <c r="O132" s="9">
        <f t="shared" ref="O132" si="655">N132*0.21</f>
        <v>0.61214999999999997</v>
      </c>
      <c r="P132" s="376">
        <f t="shared" ref="P132" si="656">N132+O132</f>
        <v>3.5271499999999998</v>
      </c>
    </row>
    <row r="133" spans="1:16" x14ac:dyDescent="0.3">
      <c r="A133" s="369" t="s">
        <v>820</v>
      </c>
      <c r="B133" s="370" t="s">
        <v>823</v>
      </c>
      <c r="C133" s="371" t="s">
        <v>277</v>
      </c>
      <c r="D133" s="372">
        <v>2.85</v>
      </c>
      <c r="E133" s="373">
        <v>0.2</v>
      </c>
      <c r="F133" s="374">
        <v>0.1</v>
      </c>
      <c r="G133" s="2">
        <f t="shared" ref="G133" si="657">D133*E133</f>
        <v>0.57000000000000006</v>
      </c>
      <c r="H133" s="375">
        <f t="shared" ref="H133" si="658">G133+D133</f>
        <v>3.42</v>
      </c>
      <c r="I133" s="9">
        <f t="shared" ref="I133" si="659">H133*0.21</f>
        <v>0.71819999999999995</v>
      </c>
      <c r="J133" s="376">
        <f t="shared" ref="J133" si="660">H133+I133</f>
        <v>4.1381999999999994</v>
      </c>
      <c r="K133" s="377">
        <v>0</v>
      </c>
      <c r="M133" s="153">
        <f t="shared" ref="M133" si="661">D133*F133</f>
        <v>0.28500000000000003</v>
      </c>
      <c r="N133" s="375">
        <f t="shared" ref="N133" si="662">D133+M133</f>
        <v>3.1350000000000002</v>
      </c>
      <c r="O133" s="9">
        <f t="shared" ref="O133" si="663">N133*0.21</f>
        <v>0.65834999999999999</v>
      </c>
      <c r="P133" s="376">
        <f t="shared" ref="P133" si="664">N133+O133</f>
        <v>3.7933500000000002</v>
      </c>
    </row>
    <row r="134" spans="1:16" x14ac:dyDescent="0.3">
      <c r="A134" s="369" t="s">
        <v>889</v>
      </c>
      <c r="B134" s="370" t="s">
        <v>890</v>
      </c>
      <c r="C134" s="371" t="s">
        <v>277</v>
      </c>
      <c r="D134" s="372">
        <v>3.05</v>
      </c>
      <c r="E134" s="373">
        <v>0.2</v>
      </c>
      <c r="F134" s="374">
        <v>0.1</v>
      </c>
      <c r="G134" s="2">
        <f t="shared" ref="G134:G135" si="665">D134*E134</f>
        <v>0.61</v>
      </c>
      <c r="H134" s="375">
        <f t="shared" ref="H134:H135" si="666">G134+D134</f>
        <v>3.6599999999999997</v>
      </c>
      <c r="I134" s="9">
        <f t="shared" ref="I134:I135" si="667">H134*0.21</f>
        <v>0.76859999999999995</v>
      </c>
      <c r="J134" s="376">
        <f t="shared" ref="J134:J135" si="668">H134+I134</f>
        <v>4.4285999999999994</v>
      </c>
      <c r="K134" s="377">
        <v>0</v>
      </c>
      <c r="M134" s="153">
        <f t="shared" ref="M134:M135" si="669">D134*F134</f>
        <v>0.30499999999999999</v>
      </c>
      <c r="N134" s="375">
        <f t="shared" ref="N134:N135" si="670">D134+M134</f>
        <v>3.355</v>
      </c>
      <c r="O134" s="9">
        <f t="shared" ref="O134:O135" si="671">N134*0.21</f>
        <v>0.70455000000000001</v>
      </c>
      <c r="P134" s="376">
        <f t="shared" ref="P134:P135" si="672">N134+O134</f>
        <v>4.0595499999999998</v>
      </c>
    </row>
    <row r="135" spans="1:16" x14ac:dyDescent="0.3">
      <c r="A135" s="369" t="s">
        <v>927</v>
      </c>
      <c r="B135" s="370" t="s">
        <v>928</v>
      </c>
      <c r="C135" s="371" t="s">
        <v>277</v>
      </c>
      <c r="D135" s="372">
        <v>3.25</v>
      </c>
      <c r="E135" s="373">
        <v>0.2</v>
      </c>
      <c r="F135" s="374">
        <v>0.1</v>
      </c>
      <c r="G135" s="2">
        <f t="shared" si="665"/>
        <v>0.65</v>
      </c>
      <c r="H135" s="375">
        <f t="shared" si="666"/>
        <v>3.9</v>
      </c>
      <c r="I135" s="9">
        <f t="shared" si="667"/>
        <v>0.81899999999999995</v>
      </c>
      <c r="J135" s="376">
        <f t="shared" si="668"/>
        <v>4.7189999999999994</v>
      </c>
      <c r="K135" s="377">
        <v>0</v>
      </c>
      <c r="M135" s="153">
        <f t="shared" si="669"/>
        <v>0.32500000000000001</v>
      </c>
      <c r="N135" s="375">
        <f t="shared" si="670"/>
        <v>3.5750000000000002</v>
      </c>
      <c r="O135" s="9">
        <f t="shared" si="671"/>
        <v>0.75075000000000003</v>
      </c>
      <c r="P135" s="376">
        <f t="shared" si="672"/>
        <v>4.3257500000000002</v>
      </c>
    </row>
    <row r="136" spans="1:16" x14ac:dyDescent="0.3">
      <c r="A136" s="369" t="s">
        <v>929</v>
      </c>
      <c r="B136" s="370" t="s">
        <v>930</v>
      </c>
      <c r="C136" s="371" t="s">
        <v>277</v>
      </c>
      <c r="D136" s="372">
        <v>3.45</v>
      </c>
      <c r="E136" s="373">
        <v>0.2</v>
      </c>
      <c r="F136" s="374">
        <v>0.1</v>
      </c>
      <c r="G136" s="2">
        <f t="shared" ref="G136" si="673">D136*E136</f>
        <v>0.69000000000000006</v>
      </c>
      <c r="H136" s="375">
        <f t="shared" ref="H136" si="674">G136+D136</f>
        <v>4.1400000000000006</v>
      </c>
      <c r="I136" s="9">
        <f t="shared" ref="I136" si="675">H136*0.21</f>
        <v>0.86940000000000006</v>
      </c>
      <c r="J136" s="376">
        <f t="shared" ref="J136" si="676">H136+I136</f>
        <v>5.0094000000000003</v>
      </c>
      <c r="K136" s="377">
        <v>0</v>
      </c>
      <c r="M136" s="153">
        <f t="shared" ref="M136" si="677">D136*F136</f>
        <v>0.34500000000000003</v>
      </c>
      <c r="N136" s="375">
        <f t="shared" ref="N136" si="678">D136+M136</f>
        <v>3.7950000000000004</v>
      </c>
      <c r="O136" s="9">
        <f t="shared" ref="O136" si="679">N136*0.21</f>
        <v>0.79695000000000005</v>
      </c>
      <c r="P136" s="376">
        <f t="shared" ref="P136" si="680">N136+O136</f>
        <v>4.5919500000000006</v>
      </c>
    </row>
    <row r="137" spans="1:16" x14ac:dyDescent="0.3">
      <c r="A137" s="369" t="s">
        <v>931</v>
      </c>
      <c r="B137" s="370" t="s">
        <v>1286</v>
      </c>
      <c r="C137" s="371" t="s">
        <v>277</v>
      </c>
      <c r="D137" s="372">
        <v>3.65</v>
      </c>
      <c r="E137" s="373">
        <v>0.2</v>
      </c>
      <c r="F137" s="374">
        <v>0.1</v>
      </c>
      <c r="G137" s="2">
        <f t="shared" ref="G137" si="681">D137*E137</f>
        <v>0.73</v>
      </c>
      <c r="H137" s="375">
        <f t="shared" ref="H137" si="682">G137+D137</f>
        <v>4.38</v>
      </c>
      <c r="I137" s="9">
        <f t="shared" ref="I137" si="683">H137*0.21</f>
        <v>0.91979999999999995</v>
      </c>
      <c r="J137" s="376">
        <f t="shared" ref="J137" si="684">H137+I137</f>
        <v>5.2997999999999994</v>
      </c>
      <c r="K137" s="377">
        <v>0</v>
      </c>
      <c r="M137" s="153">
        <f t="shared" ref="M137" si="685">D137*F137</f>
        <v>0.36499999999999999</v>
      </c>
      <c r="N137" s="375">
        <f t="shared" ref="N137" si="686">D137+M137</f>
        <v>4.0149999999999997</v>
      </c>
      <c r="O137" s="9">
        <f t="shared" ref="O137" si="687">N137*0.21</f>
        <v>0.84314999999999996</v>
      </c>
      <c r="P137" s="376">
        <f t="shared" ref="P137" si="688">N137+O137</f>
        <v>4.8581499999999993</v>
      </c>
    </row>
    <row r="139" spans="1:16" x14ac:dyDescent="0.3">
      <c r="A139" s="276" t="s">
        <v>483</v>
      </c>
      <c r="B139" s="277" t="s">
        <v>331</v>
      </c>
      <c r="C139" s="278" t="s">
        <v>277</v>
      </c>
      <c r="D139" s="279">
        <v>5.43</v>
      </c>
      <c r="E139" s="280">
        <v>0.05</v>
      </c>
      <c r="F139" s="281">
        <v>0.1</v>
      </c>
      <c r="G139" s="2">
        <f>D139*E139</f>
        <v>0.27150000000000002</v>
      </c>
      <c r="H139" s="282">
        <f>G139+D139</f>
        <v>5.7014999999999993</v>
      </c>
      <c r="I139" s="9">
        <f>H139*0.21</f>
        <v>1.1973149999999999</v>
      </c>
      <c r="J139" s="283">
        <f>H139+I139</f>
        <v>6.898814999999999</v>
      </c>
      <c r="K139" s="357">
        <v>0</v>
      </c>
      <c r="M139" s="153">
        <f>D139*F139</f>
        <v>0.54300000000000004</v>
      </c>
      <c r="N139" s="282">
        <f>D139+M139</f>
        <v>5.9729999999999999</v>
      </c>
      <c r="O139" s="9">
        <f>N139*0.21</f>
        <v>1.2543299999999999</v>
      </c>
      <c r="P139" s="283">
        <f>N139+O139</f>
        <v>7.2273300000000003</v>
      </c>
    </row>
    <row r="140" spans="1:16" x14ac:dyDescent="0.3">
      <c r="A140" s="276" t="s">
        <v>484</v>
      </c>
      <c r="B140" s="277" t="s">
        <v>333</v>
      </c>
      <c r="C140" s="278" t="s">
        <v>277</v>
      </c>
      <c r="D140" s="279">
        <v>6.54</v>
      </c>
      <c r="E140" s="280">
        <v>0.05</v>
      </c>
      <c r="F140" s="281">
        <v>0.1</v>
      </c>
      <c r="G140" s="2">
        <f>D140*E140</f>
        <v>0.32700000000000001</v>
      </c>
      <c r="H140" s="282">
        <f>G140+D140</f>
        <v>6.867</v>
      </c>
      <c r="I140" s="9">
        <f>H140*0.21</f>
        <v>1.44207</v>
      </c>
      <c r="J140" s="283">
        <f>H140+I140</f>
        <v>8.3090700000000002</v>
      </c>
      <c r="K140" s="357">
        <v>0</v>
      </c>
      <c r="M140" s="153">
        <f>D140*F140</f>
        <v>0.65400000000000003</v>
      </c>
      <c r="N140" s="282">
        <f>D140+M140</f>
        <v>7.194</v>
      </c>
      <c r="O140" s="9">
        <f>N140*0.21</f>
        <v>1.51074</v>
      </c>
      <c r="P140" s="283">
        <f>N140+O140</f>
        <v>8.7047399999999993</v>
      </c>
    </row>
    <row r="142" spans="1:16" x14ac:dyDescent="0.3">
      <c r="A142" s="359" t="s">
        <v>707</v>
      </c>
      <c r="B142" s="360" t="s">
        <v>709</v>
      </c>
      <c r="C142" s="361" t="s">
        <v>277</v>
      </c>
      <c r="D142" s="362">
        <v>8.8800000000000008</v>
      </c>
      <c r="E142" s="363">
        <v>0.8</v>
      </c>
      <c r="F142" s="364">
        <v>0.5</v>
      </c>
      <c r="G142" s="2">
        <f t="shared" ref="G142:G151" si="689">D142*E142</f>
        <v>7.104000000000001</v>
      </c>
      <c r="H142" s="365">
        <f t="shared" ref="H142:H151" si="690">G142+D142</f>
        <v>15.984000000000002</v>
      </c>
      <c r="I142" s="9">
        <f t="shared" ref="I142:I151" si="691">H142*0.21</f>
        <v>3.3566400000000001</v>
      </c>
      <c r="J142" s="366">
        <f t="shared" ref="J142:J151" si="692">H142+I142</f>
        <v>19.34064</v>
      </c>
      <c r="K142" s="402">
        <v>0</v>
      </c>
      <c r="M142" s="153">
        <f t="shared" ref="M142:M151" si="693">D142*F142</f>
        <v>4.4400000000000004</v>
      </c>
      <c r="N142" s="365">
        <f t="shared" ref="N142:N151" si="694">D142+M142</f>
        <v>13.32</v>
      </c>
      <c r="O142" s="9">
        <f t="shared" ref="O142:O151" si="695">N142*0.21</f>
        <v>2.7972000000000001</v>
      </c>
      <c r="P142" s="366">
        <f t="shared" ref="P142:P151" si="696">N142+O142</f>
        <v>16.1172</v>
      </c>
    </row>
    <row r="143" spans="1:16" x14ac:dyDescent="0.3">
      <c r="A143" s="359" t="s">
        <v>708</v>
      </c>
      <c r="B143" s="360" t="s">
        <v>710</v>
      </c>
      <c r="C143" s="361" t="s">
        <v>277</v>
      </c>
      <c r="D143" s="362">
        <v>9.99</v>
      </c>
      <c r="E143" s="363">
        <v>0.8</v>
      </c>
      <c r="F143" s="364">
        <v>0.5</v>
      </c>
      <c r="G143" s="2">
        <f t="shared" si="689"/>
        <v>7.9920000000000009</v>
      </c>
      <c r="H143" s="365">
        <f t="shared" si="690"/>
        <v>17.981999999999999</v>
      </c>
      <c r="I143" s="9">
        <f t="shared" si="691"/>
        <v>3.7762199999999999</v>
      </c>
      <c r="J143" s="366">
        <f t="shared" si="692"/>
        <v>21.758219999999998</v>
      </c>
      <c r="K143" s="402">
        <v>0</v>
      </c>
      <c r="M143" s="153">
        <f t="shared" si="693"/>
        <v>4.9950000000000001</v>
      </c>
      <c r="N143" s="365">
        <f t="shared" si="694"/>
        <v>14.984999999999999</v>
      </c>
      <c r="O143" s="9">
        <f t="shared" si="695"/>
        <v>3.1468499999999997</v>
      </c>
      <c r="P143" s="366">
        <f t="shared" si="696"/>
        <v>18.13185</v>
      </c>
    </row>
    <row r="144" spans="1:16" x14ac:dyDescent="0.3">
      <c r="A144" s="359" t="s">
        <v>711</v>
      </c>
      <c r="B144" s="360" t="s">
        <v>713</v>
      </c>
      <c r="C144" s="361" t="s">
        <v>277</v>
      </c>
      <c r="D144" s="362">
        <v>11.1</v>
      </c>
      <c r="E144" s="363">
        <v>0.8</v>
      </c>
      <c r="F144" s="364">
        <v>0.5</v>
      </c>
      <c r="G144" s="2">
        <f t="shared" si="689"/>
        <v>8.8800000000000008</v>
      </c>
      <c r="H144" s="365">
        <f t="shared" si="690"/>
        <v>19.98</v>
      </c>
      <c r="I144" s="9">
        <f t="shared" si="691"/>
        <v>4.1958000000000002</v>
      </c>
      <c r="J144" s="366">
        <f t="shared" si="692"/>
        <v>24.175800000000002</v>
      </c>
      <c r="K144" s="402">
        <v>0</v>
      </c>
      <c r="M144" s="153">
        <f t="shared" si="693"/>
        <v>5.55</v>
      </c>
      <c r="N144" s="365">
        <f t="shared" si="694"/>
        <v>16.649999999999999</v>
      </c>
      <c r="O144" s="9">
        <f t="shared" si="695"/>
        <v>3.4964999999999997</v>
      </c>
      <c r="P144" s="366">
        <f t="shared" si="696"/>
        <v>20.1465</v>
      </c>
    </row>
    <row r="145" spans="1:16" x14ac:dyDescent="0.3">
      <c r="A145" s="359" t="s">
        <v>714</v>
      </c>
      <c r="B145" s="360" t="s">
        <v>715</v>
      </c>
      <c r="C145" s="361" t="s">
        <v>277</v>
      </c>
      <c r="D145" s="362">
        <v>12.21</v>
      </c>
      <c r="E145" s="363">
        <v>0.8</v>
      </c>
      <c r="F145" s="364">
        <v>0.5</v>
      </c>
      <c r="G145" s="2">
        <f t="shared" si="689"/>
        <v>9.7680000000000007</v>
      </c>
      <c r="H145" s="365">
        <f t="shared" si="690"/>
        <v>21.978000000000002</v>
      </c>
      <c r="I145" s="9">
        <f t="shared" si="691"/>
        <v>4.61538</v>
      </c>
      <c r="J145" s="366">
        <f t="shared" si="692"/>
        <v>26.593380000000003</v>
      </c>
      <c r="K145" s="402">
        <v>0</v>
      </c>
      <c r="M145" s="153">
        <f t="shared" si="693"/>
        <v>6.1050000000000004</v>
      </c>
      <c r="N145" s="365">
        <f t="shared" si="694"/>
        <v>18.315000000000001</v>
      </c>
      <c r="O145" s="9">
        <f t="shared" si="695"/>
        <v>3.8461500000000002</v>
      </c>
      <c r="P145" s="366">
        <f t="shared" si="696"/>
        <v>22.161150000000003</v>
      </c>
    </row>
    <row r="146" spans="1:16" x14ac:dyDescent="0.3">
      <c r="A146" s="359" t="s">
        <v>716</v>
      </c>
      <c r="B146" s="360" t="s">
        <v>717</v>
      </c>
      <c r="C146" s="361" t="s">
        <v>277</v>
      </c>
      <c r="D146" s="362">
        <v>13.32</v>
      </c>
      <c r="E146" s="363">
        <v>0.8</v>
      </c>
      <c r="F146" s="364">
        <v>0.5</v>
      </c>
      <c r="G146" s="2">
        <f t="shared" si="689"/>
        <v>10.656000000000001</v>
      </c>
      <c r="H146" s="365">
        <f t="shared" si="690"/>
        <v>23.975999999999999</v>
      </c>
      <c r="I146" s="9">
        <f t="shared" si="691"/>
        <v>5.0349599999999999</v>
      </c>
      <c r="J146" s="366">
        <f t="shared" si="692"/>
        <v>29.010959999999997</v>
      </c>
      <c r="K146" s="402">
        <v>0</v>
      </c>
      <c r="M146" s="153">
        <f t="shared" si="693"/>
        <v>6.66</v>
      </c>
      <c r="N146" s="365">
        <f t="shared" si="694"/>
        <v>19.98</v>
      </c>
      <c r="O146" s="9">
        <f t="shared" si="695"/>
        <v>4.1958000000000002</v>
      </c>
      <c r="P146" s="366">
        <f t="shared" si="696"/>
        <v>24.175800000000002</v>
      </c>
    </row>
    <row r="147" spans="1:16" x14ac:dyDescent="0.3">
      <c r="A147" s="359" t="s">
        <v>718</v>
      </c>
      <c r="B147" s="360" t="s">
        <v>719</v>
      </c>
      <c r="C147" s="361" t="s">
        <v>277</v>
      </c>
      <c r="D147" s="362">
        <v>14.43</v>
      </c>
      <c r="E147" s="363">
        <v>0.8</v>
      </c>
      <c r="F147" s="364">
        <v>0.5</v>
      </c>
      <c r="G147" s="2">
        <f t="shared" si="689"/>
        <v>11.544</v>
      </c>
      <c r="H147" s="365">
        <f t="shared" si="690"/>
        <v>25.974</v>
      </c>
      <c r="I147" s="9">
        <f t="shared" si="691"/>
        <v>5.4545399999999997</v>
      </c>
      <c r="J147" s="366">
        <f t="shared" si="692"/>
        <v>31.428539999999998</v>
      </c>
      <c r="K147" s="402">
        <v>0</v>
      </c>
      <c r="M147" s="153">
        <f t="shared" si="693"/>
        <v>7.2149999999999999</v>
      </c>
      <c r="N147" s="365">
        <f t="shared" si="694"/>
        <v>21.645</v>
      </c>
      <c r="O147" s="9">
        <f t="shared" si="695"/>
        <v>4.5454499999999998</v>
      </c>
      <c r="P147" s="366">
        <f t="shared" si="696"/>
        <v>26.190449999999998</v>
      </c>
    </row>
    <row r="148" spans="1:16" x14ac:dyDescent="0.3">
      <c r="A148" s="359" t="s">
        <v>720</v>
      </c>
      <c r="B148" s="360" t="s">
        <v>721</v>
      </c>
      <c r="C148" s="361" t="s">
        <v>277</v>
      </c>
      <c r="D148" s="362">
        <v>15.54</v>
      </c>
      <c r="E148" s="363">
        <v>0.8</v>
      </c>
      <c r="F148" s="364">
        <v>0.5</v>
      </c>
      <c r="G148" s="2">
        <f t="shared" si="689"/>
        <v>12.432</v>
      </c>
      <c r="H148" s="365">
        <f t="shared" si="690"/>
        <v>27.972000000000001</v>
      </c>
      <c r="I148" s="9">
        <f t="shared" si="691"/>
        <v>5.8741200000000005</v>
      </c>
      <c r="J148" s="366">
        <f t="shared" si="692"/>
        <v>33.846119999999999</v>
      </c>
      <c r="K148" s="402">
        <v>0</v>
      </c>
      <c r="M148" s="153">
        <f t="shared" si="693"/>
        <v>7.77</v>
      </c>
      <c r="N148" s="365">
        <f t="shared" si="694"/>
        <v>23.31</v>
      </c>
      <c r="O148" s="9">
        <f t="shared" si="695"/>
        <v>4.8950999999999993</v>
      </c>
      <c r="P148" s="366">
        <f t="shared" si="696"/>
        <v>28.205099999999998</v>
      </c>
    </row>
    <row r="149" spans="1:16" x14ac:dyDescent="0.3">
      <c r="A149" s="359" t="s">
        <v>722</v>
      </c>
      <c r="B149" s="360" t="s">
        <v>723</v>
      </c>
      <c r="C149" s="361" t="s">
        <v>277</v>
      </c>
      <c r="D149" s="362">
        <v>16.649999999999999</v>
      </c>
      <c r="E149" s="363">
        <v>0.8</v>
      </c>
      <c r="F149" s="364">
        <v>0.5</v>
      </c>
      <c r="G149" s="2">
        <f t="shared" si="689"/>
        <v>13.32</v>
      </c>
      <c r="H149" s="365">
        <f t="shared" si="690"/>
        <v>29.97</v>
      </c>
      <c r="I149" s="9">
        <f t="shared" si="691"/>
        <v>6.2936999999999994</v>
      </c>
      <c r="J149" s="366">
        <f t="shared" si="692"/>
        <v>36.2637</v>
      </c>
      <c r="K149" s="402">
        <v>0</v>
      </c>
      <c r="M149" s="153">
        <f t="shared" si="693"/>
        <v>8.3249999999999993</v>
      </c>
      <c r="N149" s="365">
        <f t="shared" si="694"/>
        <v>24.974999999999998</v>
      </c>
      <c r="O149" s="9">
        <f t="shared" si="695"/>
        <v>5.2447499999999998</v>
      </c>
      <c r="P149" s="366">
        <f t="shared" si="696"/>
        <v>30.219749999999998</v>
      </c>
    </row>
    <row r="150" spans="1:16" x14ac:dyDescent="0.3">
      <c r="A150" s="359" t="s">
        <v>724</v>
      </c>
      <c r="B150" s="360" t="s">
        <v>725</v>
      </c>
      <c r="C150" s="361" t="s">
        <v>277</v>
      </c>
      <c r="D150" s="362">
        <v>17.760000000000002</v>
      </c>
      <c r="E150" s="363">
        <v>0.8</v>
      </c>
      <c r="F150" s="364">
        <v>0.5</v>
      </c>
      <c r="G150" s="2">
        <f t="shared" si="689"/>
        <v>14.208000000000002</v>
      </c>
      <c r="H150" s="365">
        <f t="shared" si="690"/>
        <v>31.968000000000004</v>
      </c>
      <c r="I150" s="9">
        <f t="shared" si="691"/>
        <v>6.7132800000000001</v>
      </c>
      <c r="J150" s="366">
        <f t="shared" si="692"/>
        <v>38.681280000000001</v>
      </c>
      <c r="K150" s="402">
        <v>0</v>
      </c>
      <c r="M150" s="153">
        <f t="shared" si="693"/>
        <v>8.8800000000000008</v>
      </c>
      <c r="N150" s="365">
        <f t="shared" si="694"/>
        <v>26.64</v>
      </c>
      <c r="O150" s="9">
        <f t="shared" si="695"/>
        <v>5.5944000000000003</v>
      </c>
      <c r="P150" s="366">
        <f t="shared" si="696"/>
        <v>32.234400000000001</v>
      </c>
    </row>
    <row r="151" spans="1:16" x14ac:dyDescent="0.3">
      <c r="A151" s="359" t="s">
        <v>726</v>
      </c>
      <c r="B151" s="360" t="s">
        <v>727</v>
      </c>
      <c r="C151" s="361" t="s">
        <v>277</v>
      </c>
      <c r="D151" s="362">
        <v>18.87</v>
      </c>
      <c r="E151" s="363">
        <v>0.8</v>
      </c>
      <c r="F151" s="364">
        <v>0.5</v>
      </c>
      <c r="G151" s="2">
        <f t="shared" si="689"/>
        <v>15.096000000000002</v>
      </c>
      <c r="H151" s="365">
        <f t="shared" si="690"/>
        <v>33.966000000000001</v>
      </c>
      <c r="I151" s="9">
        <f t="shared" si="691"/>
        <v>7.13286</v>
      </c>
      <c r="J151" s="366">
        <f t="shared" si="692"/>
        <v>41.098860000000002</v>
      </c>
      <c r="K151" s="402">
        <v>0</v>
      </c>
      <c r="M151" s="153">
        <f t="shared" si="693"/>
        <v>9.4350000000000005</v>
      </c>
      <c r="N151" s="365">
        <f t="shared" si="694"/>
        <v>28.305</v>
      </c>
      <c r="O151" s="9">
        <f t="shared" si="695"/>
        <v>5.9440499999999998</v>
      </c>
      <c r="P151" s="366">
        <f t="shared" si="696"/>
        <v>34.249049999999997</v>
      </c>
    </row>
    <row r="152" spans="1:16" x14ac:dyDescent="0.3">
      <c r="A152" s="359" t="s">
        <v>750</v>
      </c>
      <c r="B152" s="360" t="s">
        <v>751</v>
      </c>
      <c r="C152" s="361" t="s">
        <v>277</v>
      </c>
      <c r="D152" s="362">
        <v>19.98</v>
      </c>
      <c r="E152" s="363">
        <v>0.8</v>
      </c>
      <c r="F152" s="364">
        <v>0.5</v>
      </c>
      <c r="G152" s="2">
        <f t="shared" ref="G152" si="697">D152*E152</f>
        <v>15.984000000000002</v>
      </c>
      <c r="H152" s="365">
        <f t="shared" ref="H152" si="698">G152+D152</f>
        <v>35.963999999999999</v>
      </c>
      <c r="I152" s="9">
        <f t="shared" ref="I152" si="699">H152*0.21</f>
        <v>7.5524399999999998</v>
      </c>
      <c r="J152" s="366">
        <f t="shared" ref="J152" si="700">H152+I152</f>
        <v>43.516439999999996</v>
      </c>
      <c r="K152" s="402">
        <v>0</v>
      </c>
      <c r="M152" s="153">
        <f t="shared" ref="M152" si="701">D152*F152</f>
        <v>9.99</v>
      </c>
      <c r="N152" s="365">
        <f t="shared" ref="N152" si="702">D152+M152</f>
        <v>29.97</v>
      </c>
      <c r="O152" s="9">
        <f t="shared" ref="O152" si="703">N152*0.21</f>
        <v>6.2936999999999994</v>
      </c>
      <c r="P152" s="366">
        <f t="shared" ref="P152" si="704">N152+O152</f>
        <v>36.2637</v>
      </c>
    </row>
    <row r="153" spans="1:16" x14ac:dyDescent="0.3">
      <c r="A153" s="359" t="s">
        <v>752</v>
      </c>
      <c r="B153" s="360" t="s">
        <v>753</v>
      </c>
      <c r="C153" s="361" t="s">
        <v>277</v>
      </c>
      <c r="D153" s="362">
        <v>21.09</v>
      </c>
      <c r="E153" s="363">
        <v>0.8</v>
      </c>
      <c r="F153" s="364">
        <v>0.5</v>
      </c>
      <c r="G153" s="2">
        <f t="shared" ref="G153" si="705">D153*E153</f>
        <v>16.872</v>
      </c>
      <c r="H153" s="365">
        <f t="shared" ref="H153" si="706">G153+D153</f>
        <v>37.962000000000003</v>
      </c>
      <c r="I153" s="9">
        <f t="shared" ref="I153" si="707">H153*0.21</f>
        <v>7.9720200000000006</v>
      </c>
      <c r="J153" s="366">
        <f t="shared" ref="J153" si="708">H153+I153</f>
        <v>45.934020000000004</v>
      </c>
      <c r="K153" s="402">
        <v>0</v>
      </c>
      <c r="M153" s="153">
        <f t="shared" ref="M153" si="709">D153*F153</f>
        <v>10.545</v>
      </c>
      <c r="N153" s="365">
        <f t="shared" ref="N153" si="710">D153+M153</f>
        <v>31.634999999999998</v>
      </c>
      <c r="O153" s="9">
        <f t="shared" ref="O153" si="711">N153*0.21</f>
        <v>6.643349999999999</v>
      </c>
      <c r="P153" s="366">
        <f t="shared" ref="P153" si="712">N153+O153</f>
        <v>38.278349999999996</v>
      </c>
    </row>
    <row r="154" spans="1:16" x14ac:dyDescent="0.3">
      <c r="A154" s="359" t="s">
        <v>754</v>
      </c>
      <c r="B154" s="360" t="s">
        <v>755</v>
      </c>
      <c r="C154" s="361" t="s">
        <v>277</v>
      </c>
      <c r="D154" s="362">
        <v>22.2</v>
      </c>
      <c r="E154" s="363">
        <v>0.8</v>
      </c>
      <c r="F154" s="364">
        <v>0.5</v>
      </c>
      <c r="G154" s="2">
        <f t="shared" ref="G154" si="713">D154*E154</f>
        <v>17.760000000000002</v>
      </c>
      <c r="H154" s="365">
        <f t="shared" ref="H154" si="714">G154+D154</f>
        <v>39.96</v>
      </c>
      <c r="I154" s="9">
        <f t="shared" ref="I154" si="715">H154*0.21</f>
        <v>8.3916000000000004</v>
      </c>
      <c r="J154" s="366">
        <f t="shared" ref="J154" si="716">H154+I154</f>
        <v>48.351600000000005</v>
      </c>
      <c r="K154" s="402">
        <v>0</v>
      </c>
      <c r="M154" s="153">
        <f t="shared" ref="M154" si="717">D154*F154</f>
        <v>11.1</v>
      </c>
      <c r="N154" s="365">
        <f t="shared" ref="N154" si="718">D154+M154</f>
        <v>33.299999999999997</v>
      </c>
      <c r="O154" s="9">
        <f t="shared" ref="O154" si="719">N154*0.21</f>
        <v>6.9929999999999994</v>
      </c>
      <c r="P154" s="366">
        <f t="shared" ref="P154" si="720">N154+O154</f>
        <v>40.292999999999999</v>
      </c>
    </row>
  </sheetData>
  <mergeCells count="5">
    <mergeCell ref="A1:D4"/>
    <mergeCell ref="A6:D7"/>
    <mergeCell ref="A8:D9"/>
    <mergeCell ref="E10:F10"/>
    <mergeCell ref="M10:P10"/>
  </mergeCells>
  <phoneticPr fontId="1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Chrom. detalės</vt:lpstr>
      <vt:lpstr>Kanalizacija</vt:lpstr>
      <vt:lpstr>Vonios kambarys</vt:lpstr>
      <vt:lpstr>Šildymas</vt:lpstr>
      <vt:lpstr>Plastikas</vt:lpstr>
      <vt:lpstr>Bronza</vt:lpstr>
      <vt:lpstr>Metalas</vt:lpstr>
      <vt:lpstr>Inventorius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Edvinas Kmito</cp:lastModifiedBy>
  <dcterms:created xsi:type="dcterms:W3CDTF">2022-11-19T07:38:11Z</dcterms:created>
  <dcterms:modified xsi:type="dcterms:W3CDTF">2025-11-09T15:32:44Z</dcterms:modified>
</cp:coreProperties>
</file>